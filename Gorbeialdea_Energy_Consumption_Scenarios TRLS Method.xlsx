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rqa Rajput\OneDrive - The University of Alabama\zarqa docs\SMACCs 2024-2026\My thesis\Data\"/>
    </mc:Choice>
  </mc:AlternateContent>
  <xr:revisionPtr revIDLastSave="0" documentId="13_ncr:1_{F042B0C6-0DF6-4F2F-B0A8-41AD90FDE6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arison" sheetId="1" r:id="rId1"/>
    <sheet name="Current_2024" sheetId="2" r:id="rId2"/>
    <sheet name="Scenario_2030" sheetId="3" r:id="rId3"/>
    <sheet name="Scenario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4" l="1"/>
  <c r="C57" i="3"/>
  <c r="C58" i="3"/>
  <c r="C58" i="4"/>
  <c r="C58" i="2"/>
  <c r="C57" i="2"/>
  <c r="D21" i="2"/>
  <c r="D20" i="2"/>
  <c r="D19" i="2"/>
  <c r="D18" i="2"/>
  <c r="D17" i="2"/>
  <c r="D16" i="2"/>
  <c r="D21" i="3"/>
  <c r="D20" i="3"/>
  <c r="D19" i="3"/>
  <c r="D18" i="3"/>
  <c r="D17" i="3"/>
  <c r="D16" i="3"/>
  <c r="D17" i="4"/>
  <c r="D18" i="4"/>
  <c r="D16" i="4"/>
  <c r="D20" i="4"/>
  <c r="D19" i="4"/>
  <c r="D9" i="3"/>
  <c r="D12" i="3"/>
  <c r="D10" i="3"/>
  <c r="D9" i="4"/>
  <c r="D10" i="4"/>
  <c r="C52" i="3"/>
  <c r="C53" i="2"/>
  <c r="C52" i="2"/>
  <c r="C59" i="3" l="1"/>
  <c r="D21" i="4"/>
  <c r="D12" i="4"/>
  <c r="D60" i="4"/>
  <c r="D59" i="4"/>
  <c r="C53" i="4"/>
  <c r="D52" i="4"/>
  <c r="C52" i="4"/>
  <c r="C21" i="4"/>
  <c r="C12" i="4"/>
  <c r="D60" i="3"/>
  <c r="D59" i="3"/>
  <c r="C53" i="3"/>
  <c r="D52" i="3"/>
  <c r="C21" i="3"/>
  <c r="C12" i="3"/>
  <c r="D60" i="2"/>
  <c r="D59" i="2"/>
  <c r="D52" i="2"/>
  <c r="C21" i="2"/>
  <c r="C12" i="2"/>
  <c r="C59" i="4" l="1"/>
  <c r="C62" i="4" s="1"/>
  <c r="C59" i="2"/>
  <c r="C60" i="2" s="1"/>
  <c r="E6" i="1" l="1"/>
  <c r="C61" i="4"/>
  <c r="C6" i="1"/>
  <c r="C60" i="4"/>
  <c r="D6" i="1"/>
  <c r="C61" i="2"/>
  <c r="D4" i="1"/>
  <c r="C62" i="2"/>
  <c r="E4" i="1"/>
  <c r="C4" i="1"/>
  <c r="C60" i="3"/>
  <c r="D5" i="1"/>
  <c r="E5" i="1"/>
  <c r="C5" i="1"/>
  <c r="C62" i="3"/>
  <c r="C61" i="3"/>
</calcChain>
</file>

<file path=xl/sharedStrings.xml><?xml version="1.0" encoding="utf-8"?>
<sst xmlns="http://schemas.openxmlformats.org/spreadsheetml/2006/main" count="409" uniqueCount="101">
  <si>
    <t>Scenario comparison — Total transport energy consumption</t>
  </si>
  <si>
    <t>Scenario</t>
  </si>
  <si>
    <t>Year</t>
  </si>
  <si>
    <t>Current scenario (2024 fleet)</t>
  </si>
  <si>
    <t>2024</t>
  </si>
  <si>
    <t>2030 scenario (55% EV)</t>
  </si>
  <si>
    <t>2030</t>
  </si>
  <si>
    <t>2050 scenario (100% EV)</t>
  </si>
  <si>
    <t>2050</t>
  </si>
  <si>
    <t>How to use this workbook</t>
  </si>
  <si>
    <t>1. Open each scenario sheet (Current_2024, Scenario_2030, Scenario_2050).</t>
  </si>
  <si>
    <t>2. Enter the four VKT values (II, IE, EI, EE) in the yellow cells under 'VKT INPUTS — USER FILLS THESE CELLS'.</t>
  </si>
  <si>
    <t>3. The attributed VKT, EV and conventional energy components, and total are computed automatically.</t>
  </si>
  <si>
    <t>4. This Comparison sheet shows the side-by-side total for the three scenarios in MJ, GWh, and TJ.</t>
  </si>
  <si>
    <t>5. To change a coefficient (e.g. B = 0.80) or a consumption factor, edit the cell directly on the relevant scenario sheet.</t>
  </si>
  <si>
    <t>6. Each parameter has its source noted in the 'Source / Note' column for traceability.</t>
  </si>
  <si>
    <t>Current scenario (2024 Gorbeialdea fleet)</t>
  </si>
  <si>
    <t>FLEET COMPOSITION</t>
  </si>
  <si>
    <t>Parameter</t>
  </si>
  <si>
    <t>Unit</t>
  </si>
  <si>
    <t>Value</t>
  </si>
  <si>
    <t>Source / Note</t>
  </si>
  <si>
    <t>EV fleet share (%EV)</t>
  </si>
  <si>
    <t>[-]</t>
  </si>
  <si>
    <t>Total share of fleet that is electric</t>
  </si>
  <si>
    <t>Conventional fleet share (%Conv)</t>
  </si>
  <si>
    <t>Total share of fleet on conventional fuels</t>
  </si>
  <si>
    <t>EV SUB-FLEET WEIGHT SHARES (sum to 1)</t>
  </si>
  <si>
    <t>Light passenger car BEV share (WLE)</t>
  </si>
  <si>
    <t>Light commercial BEV share (WLCE)</t>
  </si>
  <si>
    <t>Heavy duty BEV share (WHE)</t>
  </si>
  <si>
    <t>Sum of EV sub-fleet shares (must = 1)</t>
  </si>
  <si>
    <t>Heavy diesel share (WHD)</t>
  </si>
  <si>
    <t>Light commercial diesel share (WLCD)</t>
  </si>
  <si>
    <t>Light commercial petrol share (WLCG)</t>
  </si>
  <si>
    <t>Light passenger car diesel share (WLD)</t>
  </si>
  <si>
    <t>Light passenger car petrol share (WLG)</t>
  </si>
  <si>
    <t>Light passenger car LPG share (WLL)</t>
  </si>
  <si>
    <t>Sum of conventional sub-fleet shares (must = 1)</t>
  </si>
  <si>
    <t>ENERGY CONSUMPTION FACTORS</t>
  </si>
  <si>
    <t>Light diesel passenger car (FLD)</t>
  </si>
  <si>
    <t>MJ/km</t>
  </si>
  <si>
    <t>EMEP/EEA Tier 1, Table 3-15 (56.8 g/km × 42.695 MJ/kg)</t>
  </si>
  <si>
    <t>Light commercial diesel (FLCD)</t>
  </si>
  <si>
    <t>EMEP/EEA Tier 1, Table 3-15 (79.0 g/km × 42.695 MJ/kg)</t>
  </si>
  <si>
    <t>Light petrol passenger car (FLG)</t>
  </si>
  <si>
    <t>EMEP/EEA Tier 1, Table 3-15 (61.9 g/km × 43.774 MJ/kg)</t>
  </si>
  <si>
    <t>Light commercial petrol (FLCG)</t>
  </si>
  <si>
    <t>EMEP/EEA Tier 1, Table 3-15 (72.5 g/km × 43.774 MJ/kg)</t>
  </si>
  <si>
    <t>Light LPG passenger car (FLL)</t>
  </si>
  <si>
    <t>EMEP/EEA Tier 1, Table 3-15 (58.1 g/km × 46.564 MJ/kg)</t>
  </si>
  <si>
    <t>Heavy diesel truck (FHD)</t>
  </si>
  <si>
    <t>EMEP/EEA Tier 1, Table 3-15 (216.8 g/km × 42.695 MJ/kg)</t>
  </si>
  <si>
    <t>Light passenger car BEV (FLE)</t>
  </si>
  <si>
    <t>EMEP/EEA Appendix 4 Tier 3 — segment average</t>
  </si>
  <si>
    <t>Light commercial BEV (FLCE)</t>
  </si>
  <si>
    <t>Heavy duty BEV (FHE)</t>
  </si>
  <si>
    <t>JEC TTW v5 HDV — Group 4/5 average</t>
  </si>
  <si>
    <t>TRIP ALLOCATION COEFFICIENTS</t>
  </si>
  <si>
    <t>II allocation (A)</t>
  </si>
  <si>
    <t>Internal-Internal trips: 100% to region</t>
  </si>
  <si>
    <t>IE allocation, EVs (B)</t>
  </si>
  <si>
    <t>Home-end charging share — Hardman 2018; ChargeUp Europe 2023</t>
  </si>
  <si>
    <t>EI allocation, EVs (C)</t>
  </si>
  <si>
    <t>Destination-end charging share — Hardman 2018; ChargeUp Europe 2023</t>
  </si>
  <si>
    <t>IE allocation, conv. (B^)</t>
  </si>
  <si>
    <t>Symmetric trip-end allocation — IPCC 2006 Vol.2 Ch.3 (bottom-up convention)</t>
  </si>
  <si>
    <t>EI allocation, conv. (C^)</t>
  </si>
  <si>
    <t>EE allocation (D)</t>
  </si>
  <si>
    <t>Highway charging/refuelling share — Hardman 2018</t>
  </si>
  <si>
    <t>VKT INPUTS — USER FILLS THESE CELLS</t>
  </si>
  <si>
    <t>Note</t>
  </si>
  <si>
    <t>Internal-Internal VKT (II)</t>
  </si>
  <si>
    <t>[veh-km]</t>
  </si>
  <si>
    <t>Enter VKT value (left blank for user input)</t>
  </si>
  <si>
    <t>Internal-External VKT (IE)</t>
  </si>
  <si>
    <t>External-Internal VKT (EI)</t>
  </si>
  <si>
    <t>External-External VKT (EE)</t>
  </si>
  <si>
    <t>ATTRIBUTED VKT (intermediate calculations)</t>
  </si>
  <si>
    <t>Attributed VKT, EV branch (VKT_attr,EV)</t>
  </si>
  <si>
    <t>Attributed VKT, conventional branch (VKT_attr,Conv)</t>
  </si>
  <si>
    <t>ENERGY CONSUMPTION RESULTS</t>
  </si>
  <si>
    <t>Component</t>
  </si>
  <si>
    <t>Formula explanation</t>
  </si>
  <si>
    <t>Energy consumed by EVs (E_EV)</t>
  </si>
  <si>
    <t>Energy consumed by conventional vehicles (E_Conv)</t>
  </si>
  <si>
    <t>TOTAL ENERGY CONSUMPTION</t>
  </si>
  <si>
    <t>Total energy consumption (kWh)</t>
  </si>
  <si>
    <t>Total energy consumption (GWh)</t>
  </si>
  <si>
    <t>Total energy consumption (TJ)</t>
  </si>
  <si>
    <t>2030 scenario (55% EV, 45% conventional)</t>
  </si>
  <si>
    <t>CONVENTIONAL SUB-FLEET SHARES ( In column C for all trip types and in D for through trips)</t>
  </si>
  <si>
    <t>EV SUB-FLEET WEIGHT SHARES  ( In column C for all trip types and in D for through trips)</t>
  </si>
  <si>
    <t>CONVENTIONAL SUB-FLEET SHARES  ( In column C for all trip types and in D for through trips)</t>
  </si>
  <si>
    <t>Total [MJ/day]</t>
  </si>
  <si>
    <t>Total [GWh/day]</t>
  </si>
  <si>
    <t>Total [TJ/day]</t>
  </si>
  <si>
    <t>[MJ/day]</t>
  </si>
  <si>
    <t>[kWh/day]</t>
  </si>
  <si>
    <t>[GWh/day]</t>
  </si>
  <si>
    <t>[TJ/day]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</si>
</sst>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1F3864"/>
      <name val="Calibri"/>
    </font>
    <font>
      <b/>
      <sz val="11"/>
      <name val="Calibri"/>
    </font>
    <font>
      <sz val="11"/>
      <name val="Calibri"/>
    </font>
    <font>
      <i/>
      <sz val="10"/>
      <color rgb="FF595959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4" borderId="0" xfId="0" applyFont="1" applyFill="1"/>
    <xf numFmtId="0" fontId="4" fillId="0" borderId="0" xfId="0" applyFont="1"/>
    <xf numFmtId="0" fontId="0" fillId="0" borderId="0" xfId="0" applyAlignment="1">
      <alignment horizontal="center" vertical="center" wrapText="1"/>
    </xf>
    <xf numFmtId="3" fontId="0" fillId="0" borderId="0" xfId="0" applyNumberFormat="1"/>
    <xf numFmtId="165" fontId="0" fillId="0" borderId="0" xfId="0" applyNumberFormat="1"/>
    <xf numFmtId="0" fontId="3" fillId="4" borderId="0" xfId="0" applyFont="1" applyFill="1" applyAlignment="1">
      <alignment horizontal="left" vertical="center" wrapText="1"/>
    </xf>
    <xf numFmtId="164" fontId="0" fillId="0" borderId="0" xfId="0" applyNumberFormat="1"/>
    <xf numFmtId="0" fontId="5" fillId="0" borderId="0" xfId="0" applyFont="1"/>
    <xf numFmtId="164" fontId="5" fillId="0" borderId="0" xfId="0" applyNumberFormat="1" applyFont="1"/>
    <xf numFmtId="2" fontId="0" fillId="0" borderId="0" xfId="0" applyNumberFormat="1"/>
    <xf numFmtId="3" fontId="0" fillId="5" borderId="0" xfId="0" applyNumberFormat="1" applyFill="1"/>
    <xf numFmtId="0" fontId="3" fillId="0" borderId="0" xfId="0" applyFont="1"/>
    <xf numFmtId="0" fontId="2" fillId="7" borderId="0" xfId="0" applyFont="1" applyFill="1"/>
    <xf numFmtId="0" fontId="0" fillId="7" borderId="0" xfId="0" applyFill="1" applyAlignment="1">
      <alignment horizontal="center" vertical="center" wrapText="1"/>
    </xf>
    <xf numFmtId="3" fontId="2" fillId="7" borderId="0" xfId="0" applyNumberFormat="1" applyFont="1" applyFill="1"/>
    <xf numFmtId="0" fontId="5" fillId="7" borderId="0" xfId="0" applyFont="1" applyFill="1"/>
    <xf numFmtId="0" fontId="0" fillId="0" borderId="0" xfId="0"/>
    <xf numFmtId="0" fontId="2" fillId="6" borderId="0" xfId="0" applyFont="1" applyFill="1"/>
    <xf numFmtId="0" fontId="1" fillId="2" borderId="0" xfId="0" applyFont="1" applyFill="1" applyAlignment="1">
      <alignment horizontal="center" vertical="center" wrapText="1"/>
    </xf>
    <xf numFmtId="0" fontId="5" fillId="0" borderId="0" xfId="0" applyFont="1"/>
    <xf numFmtId="0" fontId="3" fillId="4" borderId="0" xfId="0" applyFont="1" applyFill="1"/>
    <xf numFmtId="0" fontId="2" fillId="3" borderId="0" xfId="0" applyFont="1" applyFill="1"/>
    <xf numFmtId="0" fontId="2" fillId="3" borderId="0" xfId="0" applyFont="1" applyFill="1" applyAlignment="1">
      <alignment horizontal="left" vertical="center" wrapText="1"/>
    </xf>
    <xf numFmtId="0" fontId="2" fillId="7" borderId="0" xfId="0" applyFont="1" applyFill="1"/>
    <xf numFmtId="0" fontId="3" fillId="4" borderId="0" xfId="0" applyFont="1" applyFill="1" applyAlignment="1">
      <alignment horizontal="left" vertical="center" wrapText="1"/>
    </xf>
    <xf numFmtId="0" fontId="2" fillId="5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E4" sqref="E4"/>
    </sheetView>
  </sheetViews>
  <sheetFormatPr defaultRowHeight="14.5" x14ac:dyDescent="0.35"/>
  <cols>
    <col min="1" max="1" width="34" customWidth="1"/>
    <col min="2" max="2" width="14" customWidth="1"/>
    <col min="3" max="5" width="18" customWidth="1"/>
  </cols>
  <sheetData>
    <row r="1" spans="1:5" ht="26" customHeight="1" x14ac:dyDescent="0.35">
      <c r="A1" s="19" t="s">
        <v>0</v>
      </c>
      <c r="B1" s="17"/>
      <c r="C1" s="17"/>
      <c r="D1" s="17"/>
      <c r="E1" s="17"/>
    </row>
    <row r="3" spans="1:5" x14ac:dyDescent="0.35">
      <c r="A3" s="1" t="s">
        <v>1</v>
      </c>
      <c r="B3" s="1" t="s">
        <v>2</v>
      </c>
      <c r="C3" s="1" t="s">
        <v>94</v>
      </c>
      <c r="D3" s="1" t="s">
        <v>95</v>
      </c>
      <c r="E3" s="1" t="s">
        <v>96</v>
      </c>
    </row>
    <row r="4" spans="1:5" x14ac:dyDescent="0.35">
      <c r="A4" s="2" t="s">
        <v>3</v>
      </c>
      <c r="B4" s="3" t="s">
        <v>4</v>
      </c>
      <c r="C4" s="4">
        <f>Current_2024!C59</f>
        <v>382749.77659456572</v>
      </c>
      <c r="D4" s="5">
        <f>Current_2024!C59/3600000</f>
        <v>0.10631938238737937</v>
      </c>
      <c r="E4" s="5">
        <f>Current_2024!C59/1000000</f>
        <v>0.38274977659456572</v>
      </c>
    </row>
    <row r="5" spans="1:5" x14ac:dyDescent="0.35">
      <c r="A5" s="2" t="s">
        <v>5</v>
      </c>
      <c r="B5" s="3" t="s">
        <v>6</v>
      </c>
      <c r="C5" s="4">
        <f>Scenario_2030!C59</f>
        <v>245822.88043067744</v>
      </c>
      <c r="D5" s="5">
        <f>Scenario_2030!C59/3600000</f>
        <v>6.8284133452965953E-2</v>
      </c>
      <c r="E5" s="5">
        <f>Scenario_2030!C59/1000000</f>
        <v>0.24582288043067743</v>
      </c>
    </row>
    <row r="6" spans="1:5" x14ac:dyDescent="0.35">
      <c r="A6" s="2" t="s">
        <v>7</v>
      </c>
      <c r="B6" s="3" t="s">
        <v>8</v>
      </c>
      <c r="C6" s="4">
        <f>Scenario_2050!C59</f>
        <v>155984.3020711572</v>
      </c>
      <c r="D6" s="5">
        <f>Scenario_2050!C59/3600000</f>
        <v>4.332897279754367E-2</v>
      </c>
      <c r="E6" s="5">
        <f>Scenario_2050!C59/1000000</f>
        <v>0.15598430207115721</v>
      </c>
    </row>
    <row r="9" spans="1:5" x14ac:dyDescent="0.35">
      <c r="A9" s="22" t="s">
        <v>9</v>
      </c>
      <c r="B9" s="17"/>
      <c r="C9" s="17"/>
      <c r="D9" s="17"/>
      <c r="E9" s="17"/>
    </row>
    <row r="10" spans="1:5" x14ac:dyDescent="0.35">
      <c r="A10" s="27" t="s">
        <v>10</v>
      </c>
      <c r="B10" s="17"/>
      <c r="C10" s="17"/>
      <c r="D10" s="17"/>
      <c r="E10" s="17"/>
    </row>
    <row r="11" spans="1:5" x14ac:dyDescent="0.35">
      <c r="A11" s="27" t="s">
        <v>11</v>
      </c>
      <c r="B11" s="17"/>
      <c r="C11" s="17"/>
      <c r="D11" s="17"/>
      <c r="E11" s="17"/>
    </row>
    <row r="12" spans="1:5" x14ac:dyDescent="0.35">
      <c r="A12" s="27" t="s">
        <v>12</v>
      </c>
      <c r="B12" s="17"/>
      <c r="C12" s="17"/>
      <c r="D12" s="17"/>
      <c r="E12" s="17"/>
    </row>
    <row r="13" spans="1:5" x14ac:dyDescent="0.35">
      <c r="A13" s="27" t="s">
        <v>13</v>
      </c>
      <c r="B13" s="17"/>
      <c r="C13" s="17"/>
      <c r="D13" s="17"/>
      <c r="E13" s="17"/>
    </row>
    <row r="14" spans="1:5" x14ac:dyDescent="0.35">
      <c r="A14" s="27" t="s">
        <v>14</v>
      </c>
      <c r="B14" s="17"/>
      <c r="C14" s="17"/>
      <c r="D14" s="17"/>
      <c r="E14" s="17"/>
    </row>
    <row r="15" spans="1:5" x14ac:dyDescent="0.35">
      <c r="A15" s="27" t="s">
        <v>15</v>
      </c>
      <c r="B15" s="17"/>
      <c r="C15" s="17"/>
      <c r="D15" s="17"/>
      <c r="E15" s="17"/>
    </row>
  </sheetData>
  <mergeCells count="8">
    <mergeCell ref="A12:E12"/>
    <mergeCell ref="A15:E15"/>
    <mergeCell ref="A10:E10"/>
    <mergeCell ref="A11:E11"/>
    <mergeCell ref="A1:E1"/>
    <mergeCell ref="A13:E13"/>
    <mergeCell ref="A14:E14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2"/>
  <sheetViews>
    <sheetView topLeftCell="A48" workbookViewId="0">
      <selection activeCell="B67" sqref="B67"/>
    </sheetView>
  </sheetViews>
  <sheetFormatPr defaultRowHeight="14.5" x14ac:dyDescent="0.35"/>
  <cols>
    <col min="1" max="1" width="42" customWidth="1"/>
    <col min="2" max="10" width="14" customWidth="1"/>
    <col min="11" max="11" width="16" customWidth="1"/>
    <col min="12" max="12" width="50" customWidth="1"/>
  </cols>
  <sheetData>
    <row r="1" spans="1:12" ht="26" customHeight="1" x14ac:dyDescent="0.35">
      <c r="A1" s="19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x14ac:dyDescent="0.35">
      <c r="A3" s="23" t="s">
        <v>17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x14ac:dyDescent="0.35">
      <c r="A4" s="6" t="s">
        <v>18</v>
      </c>
      <c r="B4" s="6" t="s">
        <v>19</v>
      </c>
      <c r="C4" s="6" t="s">
        <v>20</v>
      </c>
      <c r="D4" s="25" t="s">
        <v>21</v>
      </c>
      <c r="E4" s="17"/>
      <c r="F4" s="17"/>
      <c r="G4" s="17"/>
      <c r="H4" s="17"/>
      <c r="I4" s="17"/>
      <c r="J4" s="17"/>
      <c r="K4" s="17"/>
      <c r="L4" s="17"/>
    </row>
    <row r="5" spans="1:12" x14ac:dyDescent="0.35">
      <c r="A5" s="2" t="s">
        <v>22</v>
      </c>
      <c r="B5" s="3" t="s">
        <v>23</v>
      </c>
      <c r="C5" s="7">
        <v>1.3950000000000001E-2</v>
      </c>
      <c r="D5" s="20" t="s">
        <v>24</v>
      </c>
      <c r="E5" s="17"/>
      <c r="F5" s="17"/>
      <c r="G5" s="17"/>
      <c r="H5" s="17"/>
      <c r="I5" s="17"/>
      <c r="J5" s="17"/>
      <c r="K5" s="17"/>
      <c r="L5" s="17"/>
    </row>
    <row r="6" spans="1:12" x14ac:dyDescent="0.35">
      <c r="A6" s="2" t="s">
        <v>25</v>
      </c>
      <c r="B6" s="3" t="s">
        <v>23</v>
      </c>
      <c r="C6" s="7">
        <v>0.98604999999999998</v>
      </c>
      <c r="D6" s="20" t="s">
        <v>26</v>
      </c>
      <c r="E6" s="17"/>
      <c r="F6" s="17"/>
      <c r="G6" s="17"/>
      <c r="H6" s="17"/>
      <c r="I6" s="17"/>
      <c r="J6" s="17"/>
      <c r="K6" s="17"/>
      <c r="L6" s="17"/>
    </row>
    <row r="8" spans="1:12" x14ac:dyDescent="0.35">
      <c r="A8" s="22" t="s">
        <v>27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 x14ac:dyDescent="0.35">
      <c r="A9" s="2" t="s">
        <v>28</v>
      </c>
      <c r="B9" s="3" t="s">
        <v>23</v>
      </c>
      <c r="C9" s="7">
        <v>1</v>
      </c>
    </row>
    <row r="10" spans="1:12" x14ac:dyDescent="0.35">
      <c r="A10" s="2" t="s">
        <v>29</v>
      </c>
      <c r="B10" s="3" t="s">
        <v>23</v>
      </c>
      <c r="C10" s="7">
        <v>0</v>
      </c>
    </row>
    <row r="11" spans="1:12" x14ac:dyDescent="0.35">
      <c r="A11" s="2" t="s">
        <v>30</v>
      </c>
      <c r="B11" s="3" t="s">
        <v>23</v>
      </c>
      <c r="C11" s="7">
        <v>0</v>
      </c>
    </row>
    <row r="12" spans="1:12" x14ac:dyDescent="0.35">
      <c r="A12" s="8" t="s">
        <v>31</v>
      </c>
      <c r="B12" s="3" t="s">
        <v>23</v>
      </c>
      <c r="C12" s="9">
        <f>C9+C10+C11</f>
        <v>1</v>
      </c>
    </row>
    <row r="14" spans="1:12" x14ac:dyDescent="0.35">
      <c r="A14" s="22" t="s">
        <v>93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2" x14ac:dyDescent="0.35">
      <c r="A15" s="2" t="s">
        <v>32</v>
      </c>
      <c r="B15" s="3" t="s">
        <v>23</v>
      </c>
      <c r="C15" s="7">
        <v>0.09</v>
      </c>
      <c r="D15">
        <v>0.15</v>
      </c>
    </row>
    <row r="16" spans="1:12" x14ac:dyDescent="0.35">
      <c r="A16" s="2" t="s">
        <v>33</v>
      </c>
      <c r="B16" s="3" t="s">
        <v>23</v>
      </c>
      <c r="C16" s="7">
        <v>0.1152</v>
      </c>
      <c r="D16">
        <f>ROUND((0.85/0.91)*C16, 5)</f>
        <v>0.1076</v>
      </c>
    </row>
    <row r="17" spans="1:12" x14ac:dyDescent="0.35">
      <c r="A17" s="2" t="s">
        <v>34</v>
      </c>
      <c r="B17" s="3" t="s">
        <v>23</v>
      </c>
      <c r="C17" s="7">
        <v>1.2800000000000001E-2</v>
      </c>
      <c r="D17">
        <f>ROUND((0.85/0.91)*C17, 5)</f>
        <v>1.196E-2</v>
      </c>
    </row>
    <row r="18" spans="1:12" x14ac:dyDescent="0.35">
      <c r="A18" s="2" t="s">
        <v>35</v>
      </c>
      <c r="B18" s="3" t="s">
        <v>23</v>
      </c>
      <c r="C18" s="7">
        <v>0.4113</v>
      </c>
      <c r="D18">
        <f>ROUND((0.85/0.91)*C18, 5)</f>
        <v>0.38418000000000002</v>
      </c>
    </row>
    <row r="19" spans="1:12" x14ac:dyDescent="0.35">
      <c r="A19" s="2" t="s">
        <v>36</v>
      </c>
      <c r="B19" s="3" t="s">
        <v>23</v>
      </c>
      <c r="C19" s="7">
        <v>0.36549999999999999</v>
      </c>
      <c r="D19">
        <f>ROUND((0.85/0.91)*C19, 5)</f>
        <v>0.34139999999999998</v>
      </c>
    </row>
    <row r="20" spans="1:12" x14ac:dyDescent="0.35">
      <c r="A20" s="2" t="s">
        <v>37</v>
      </c>
      <c r="B20" s="3" t="s">
        <v>23</v>
      </c>
      <c r="C20" s="7">
        <v>5.1999999999999998E-3</v>
      </c>
      <c r="D20">
        <f>ROUND((0.85/0.91)*C20, 5)</f>
        <v>4.8599999999999997E-3</v>
      </c>
    </row>
    <row r="21" spans="1:12" x14ac:dyDescent="0.35">
      <c r="A21" s="8" t="s">
        <v>38</v>
      </c>
      <c r="B21" s="3" t="s">
        <v>23</v>
      </c>
      <c r="C21" s="9">
        <f>SUM(C15:C20)</f>
        <v>0.99999999999999989</v>
      </c>
      <c r="D21">
        <f>SUM(D15:D20)</f>
        <v>0.99999999999999989</v>
      </c>
    </row>
    <row r="23" spans="1:12" x14ac:dyDescent="0.35">
      <c r="A23" s="22" t="s">
        <v>39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35">
      <c r="A24" s="1" t="s">
        <v>18</v>
      </c>
      <c r="B24" s="1" t="s">
        <v>19</v>
      </c>
      <c r="C24" s="1" t="s">
        <v>20</v>
      </c>
      <c r="D24" s="21" t="s">
        <v>21</v>
      </c>
      <c r="E24" s="17"/>
      <c r="F24" s="17"/>
      <c r="G24" s="17"/>
      <c r="H24" s="17"/>
      <c r="I24" s="17"/>
      <c r="J24" s="17"/>
      <c r="K24" s="17"/>
      <c r="L24" s="17"/>
    </row>
    <row r="25" spans="1:12" x14ac:dyDescent="0.35">
      <c r="A25" s="2" t="s">
        <v>40</v>
      </c>
      <c r="B25" s="3" t="s">
        <v>41</v>
      </c>
      <c r="C25" s="10">
        <v>2.4300000000000002</v>
      </c>
      <c r="D25" s="20" t="s">
        <v>42</v>
      </c>
      <c r="E25" s="17"/>
      <c r="F25" s="17"/>
      <c r="G25" s="17"/>
      <c r="H25" s="17"/>
      <c r="I25" s="17"/>
      <c r="J25" s="17"/>
      <c r="K25" s="17"/>
      <c r="L25" s="17"/>
    </row>
    <row r="26" spans="1:12" x14ac:dyDescent="0.35">
      <c r="A26" s="2" t="s">
        <v>43</v>
      </c>
      <c r="B26" s="3" t="s">
        <v>41</v>
      </c>
      <c r="C26" s="10">
        <v>3.37</v>
      </c>
      <c r="D26" s="20" t="s">
        <v>44</v>
      </c>
      <c r="E26" s="17"/>
      <c r="F26" s="17"/>
      <c r="G26" s="17"/>
      <c r="H26" s="17"/>
      <c r="I26" s="17"/>
      <c r="J26" s="17"/>
      <c r="K26" s="17"/>
      <c r="L26" s="17"/>
    </row>
    <row r="27" spans="1:12" x14ac:dyDescent="0.35">
      <c r="A27" s="2" t="s">
        <v>45</v>
      </c>
      <c r="B27" s="3" t="s">
        <v>41</v>
      </c>
      <c r="C27" s="10">
        <v>2.71</v>
      </c>
      <c r="D27" s="20" t="s">
        <v>46</v>
      </c>
      <c r="E27" s="17"/>
      <c r="F27" s="17"/>
      <c r="G27" s="17"/>
      <c r="H27" s="17"/>
      <c r="I27" s="17"/>
      <c r="J27" s="17"/>
      <c r="K27" s="17"/>
      <c r="L27" s="17"/>
    </row>
    <row r="28" spans="1:12" x14ac:dyDescent="0.35">
      <c r="A28" s="2" t="s">
        <v>47</v>
      </c>
      <c r="B28" s="3" t="s">
        <v>41</v>
      </c>
      <c r="C28" s="10">
        <v>3.17</v>
      </c>
      <c r="D28" s="20" t="s">
        <v>48</v>
      </c>
      <c r="E28" s="17"/>
      <c r="F28" s="17"/>
      <c r="G28" s="17"/>
      <c r="H28" s="17"/>
      <c r="I28" s="17"/>
      <c r="J28" s="17"/>
      <c r="K28" s="17"/>
      <c r="L28" s="17"/>
    </row>
    <row r="29" spans="1:12" x14ac:dyDescent="0.35">
      <c r="A29" s="2" t="s">
        <v>49</v>
      </c>
      <c r="B29" s="3" t="s">
        <v>41</v>
      </c>
      <c r="C29" s="10">
        <v>2.71</v>
      </c>
      <c r="D29" s="20" t="s">
        <v>50</v>
      </c>
      <c r="E29" s="17"/>
      <c r="F29" s="17"/>
      <c r="G29" s="17"/>
      <c r="H29" s="17"/>
      <c r="I29" s="17"/>
      <c r="J29" s="17"/>
      <c r="K29" s="17"/>
      <c r="L29" s="17"/>
    </row>
    <row r="30" spans="1:12" x14ac:dyDescent="0.35">
      <c r="A30" s="2" t="s">
        <v>51</v>
      </c>
      <c r="B30" s="3" t="s">
        <v>41</v>
      </c>
      <c r="C30" s="10">
        <v>9.26</v>
      </c>
      <c r="D30" s="20" t="s">
        <v>52</v>
      </c>
      <c r="E30" s="17"/>
      <c r="F30" s="17"/>
      <c r="G30" s="17"/>
      <c r="H30" s="17"/>
      <c r="I30" s="17"/>
      <c r="J30" s="17"/>
      <c r="K30" s="17"/>
      <c r="L30" s="17"/>
    </row>
    <row r="31" spans="1:12" x14ac:dyDescent="0.35">
      <c r="A31" s="2" t="s">
        <v>53</v>
      </c>
      <c r="B31" s="3" t="s">
        <v>41</v>
      </c>
      <c r="C31" s="10">
        <v>0.69</v>
      </c>
      <c r="D31" s="20" t="s">
        <v>54</v>
      </c>
      <c r="E31" s="17"/>
      <c r="F31" s="17"/>
      <c r="G31" s="17"/>
      <c r="H31" s="17"/>
      <c r="I31" s="17"/>
      <c r="J31" s="17"/>
      <c r="K31" s="17"/>
      <c r="L31" s="17"/>
    </row>
    <row r="32" spans="1:12" x14ac:dyDescent="0.35">
      <c r="A32" s="2" t="s">
        <v>55</v>
      </c>
      <c r="B32" s="3" t="s">
        <v>41</v>
      </c>
      <c r="C32" s="10">
        <v>0.86</v>
      </c>
      <c r="D32" s="20" t="s">
        <v>54</v>
      </c>
      <c r="E32" s="17"/>
      <c r="F32" s="17"/>
      <c r="G32" s="17"/>
      <c r="H32" s="17"/>
      <c r="I32" s="17"/>
      <c r="J32" s="17"/>
      <c r="K32" s="17"/>
      <c r="L32" s="17"/>
    </row>
    <row r="33" spans="1:12" x14ac:dyDescent="0.35">
      <c r="A33" s="2" t="s">
        <v>56</v>
      </c>
      <c r="B33" s="3" t="s">
        <v>41</v>
      </c>
      <c r="C33" s="10">
        <v>3.97</v>
      </c>
      <c r="D33" s="20" t="s">
        <v>57</v>
      </c>
      <c r="E33" s="17"/>
      <c r="F33" s="17"/>
      <c r="G33" s="17"/>
      <c r="H33" s="17"/>
      <c r="I33" s="17"/>
      <c r="J33" s="17"/>
      <c r="K33" s="17"/>
      <c r="L33" s="17"/>
    </row>
    <row r="35" spans="1:12" x14ac:dyDescent="0.35">
      <c r="A35" s="22" t="s">
        <v>58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x14ac:dyDescent="0.35">
      <c r="A36" s="1" t="s">
        <v>18</v>
      </c>
      <c r="B36" s="1" t="s">
        <v>19</v>
      </c>
      <c r="C36" s="1" t="s">
        <v>20</v>
      </c>
      <c r="D36" s="21" t="s">
        <v>21</v>
      </c>
      <c r="E36" s="17"/>
      <c r="F36" s="17"/>
      <c r="G36" s="17"/>
      <c r="H36" s="17"/>
      <c r="I36" s="17"/>
      <c r="J36" s="17"/>
      <c r="K36" s="17"/>
      <c r="L36" s="17"/>
    </row>
    <row r="37" spans="1:12" x14ac:dyDescent="0.35">
      <c r="A37" s="2" t="s">
        <v>59</v>
      </c>
      <c r="B37" s="3" t="s">
        <v>23</v>
      </c>
      <c r="C37" s="7">
        <v>1</v>
      </c>
      <c r="D37" s="20" t="s">
        <v>60</v>
      </c>
      <c r="E37" s="17"/>
      <c r="F37" s="17"/>
      <c r="G37" s="17"/>
      <c r="H37" s="17"/>
      <c r="I37" s="17"/>
      <c r="J37" s="17"/>
      <c r="K37" s="17"/>
      <c r="L37" s="17"/>
    </row>
    <row r="38" spans="1:12" x14ac:dyDescent="0.35">
      <c r="A38" s="2" t="s">
        <v>61</v>
      </c>
      <c r="B38" s="3" t="s">
        <v>23</v>
      </c>
      <c r="C38" s="7">
        <v>0.8</v>
      </c>
      <c r="D38" s="20" t="s">
        <v>62</v>
      </c>
      <c r="E38" s="17"/>
      <c r="F38" s="17"/>
      <c r="G38" s="17"/>
      <c r="H38" s="17"/>
      <c r="I38" s="17"/>
      <c r="J38" s="17"/>
      <c r="K38" s="17"/>
      <c r="L38" s="17"/>
    </row>
    <row r="39" spans="1:12" x14ac:dyDescent="0.35">
      <c r="A39" s="2" t="s">
        <v>63</v>
      </c>
      <c r="B39" s="3" t="s">
        <v>23</v>
      </c>
      <c r="C39" s="7">
        <v>0.2</v>
      </c>
      <c r="D39" s="20" t="s">
        <v>64</v>
      </c>
      <c r="E39" s="17"/>
      <c r="F39" s="17"/>
      <c r="G39" s="17"/>
      <c r="H39" s="17"/>
      <c r="I39" s="17"/>
      <c r="J39" s="17"/>
      <c r="K39" s="17"/>
      <c r="L39" s="17"/>
    </row>
    <row r="40" spans="1:12" x14ac:dyDescent="0.35">
      <c r="A40" s="2" t="s">
        <v>65</v>
      </c>
      <c r="B40" s="3" t="s">
        <v>23</v>
      </c>
      <c r="C40" s="7">
        <v>0.5</v>
      </c>
      <c r="D40" s="20" t="s">
        <v>66</v>
      </c>
      <c r="E40" s="17"/>
      <c r="F40" s="17"/>
      <c r="G40" s="17"/>
      <c r="H40" s="17"/>
      <c r="I40" s="17"/>
      <c r="J40" s="17"/>
      <c r="K40" s="17"/>
      <c r="L40" s="17"/>
    </row>
    <row r="41" spans="1:12" x14ac:dyDescent="0.35">
      <c r="A41" s="2" t="s">
        <v>67</v>
      </c>
      <c r="B41" s="3" t="s">
        <v>23</v>
      </c>
      <c r="C41" s="7">
        <v>0.5</v>
      </c>
      <c r="D41" s="20" t="s">
        <v>66</v>
      </c>
      <c r="E41" s="17"/>
      <c r="F41" s="17"/>
      <c r="G41" s="17"/>
      <c r="H41" s="17"/>
      <c r="I41" s="17"/>
      <c r="J41" s="17"/>
      <c r="K41" s="17"/>
      <c r="L41" s="17"/>
    </row>
    <row r="42" spans="1:12" x14ac:dyDescent="0.35">
      <c r="A42" s="2" t="s">
        <v>68</v>
      </c>
      <c r="B42" s="3" t="s">
        <v>23</v>
      </c>
      <c r="C42" s="7">
        <v>0.05</v>
      </c>
      <c r="D42" s="20" t="s">
        <v>69</v>
      </c>
      <c r="E42" s="17"/>
      <c r="F42" s="17"/>
      <c r="G42" s="17"/>
      <c r="H42" s="17"/>
      <c r="I42" s="17"/>
      <c r="J42" s="17"/>
      <c r="K42" s="17"/>
      <c r="L42" s="17"/>
    </row>
    <row r="44" spans="1:12" x14ac:dyDescent="0.35">
      <c r="A44" s="26" t="s">
        <v>70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spans="1:12" x14ac:dyDescent="0.35">
      <c r="A45" s="1" t="s">
        <v>18</v>
      </c>
      <c r="B45" s="1" t="s">
        <v>19</v>
      </c>
      <c r="C45" s="1" t="s">
        <v>20</v>
      </c>
      <c r="D45" s="21" t="s">
        <v>71</v>
      </c>
      <c r="E45" s="17"/>
      <c r="F45" s="17"/>
      <c r="G45" s="17"/>
      <c r="H45" s="17"/>
      <c r="I45" s="17"/>
      <c r="J45" s="17"/>
      <c r="K45" s="17"/>
      <c r="L45" s="17"/>
    </row>
    <row r="46" spans="1:12" x14ac:dyDescent="0.35">
      <c r="A46" s="2" t="s">
        <v>72</v>
      </c>
      <c r="B46" s="3" t="s">
        <v>73</v>
      </c>
      <c r="C46" s="11">
        <v>0</v>
      </c>
      <c r="D46" s="20" t="s">
        <v>74</v>
      </c>
      <c r="E46" s="17"/>
      <c r="F46" s="17"/>
      <c r="G46" s="17"/>
      <c r="H46" s="17"/>
      <c r="I46" s="17"/>
      <c r="J46" s="17"/>
      <c r="K46" s="17"/>
      <c r="L46" s="17"/>
    </row>
    <row r="47" spans="1:12" x14ac:dyDescent="0.35">
      <c r="A47" s="2" t="s">
        <v>75</v>
      </c>
      <c r="B47" s="3" t="s">
        <v>73</v>
      </c>
      <c r="C47" s="11">
        <v>73724.899999999994</v>
      </c>
      <c r="D47" s="20" t="s">
        <v>74</v>
      </c>
      <c r="E47" s="17"/>
      <c r="F47" s="17"/>
      <c r="G47" s="17"/>
      <c r="H47" s="17"/>
      <c r="I47" s="17"/>
      <c r="J47" s="17"/>
      <c r="K47" s="17"/>
      <c r="L47" s="17"/>
    </row>
    <row r="48" spans="1:12" x14ac:dyDescent="0.35">
      <c r="A48" s="2" t="s">
        <v>76</v>
      </c>
      <c r="B48" s="3" t="s">
        <v>73</v>
      </c>
      <c r="C48">
        <v>49738.6</v>
      </c>
      <c r="D48" s="20" t="s">
        <v>74</v>
      </c>
      <c r="E48" s="17"/>
      <c r="F48" s="17"/>
      <c r="G48" s="17"/>
      <c r="H48" s="17"/>
      <c r="I48" s="17"/>
      <c r="J48" s="17"/>
      <c r="K48" s="17"/>
      <c r="L48" s="17"/>
    </row>
    <row r="49" spans="1:12" x14ac:dyDescent="0.35">
      <c r="A49" s="2" t="s">
        <v>77</v>
      </c>
      <c r="B49" s="3" t="s">
        <v>73</v>
      </c>
      <c r="C49" s="11">
        <v>1012528.2</v>
      </c>
      <c r="D49" s="20" t="s">
        <v>74</v>
      </c>
      <c r="E49" s="17"/>
      <c r="F49" s="17"/>
      <c r="G49" s="17"/>
      <c r="H49" s="17"/>
      <c r="I49" s="17"/>
      <c r="J49" s="17"/>
      <c r="K49" s="17"/>
      <c r="L49" s="17"/>
    </row>
    <row r="51" spans="1:12" x14ac:dyDescent="0.35">
      <c r="A51" s="18" t="s">
        <v>78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spans="1:12" x14ac:dyDescent="0.35">
      <c r="A52" s="12" t="s">
        <v>79</v>
      </c>
      <c r="B52" s="3" t="s">
        <v>73</v>
      </c>
      <c r="C52" s="4">
        <f>IF(COUNTBLANK(C46:C49)&gt;0,"",C37*C46+C38*C47+C39*C48+C42*C49)</f>
        <v>119554.05</v>
      </c>
      <c r="D52" s="20" t="e">
        <f>A·II + B·IE + C·EI + D·EE</f>
        <v>#NAME?</v>
      </c>
      <c r="E52" s="17"/>
      <c r="F52" s="17"/>
      <c r="G52" s="17"/>
      <c r="H52" s="17"/>
      <c r="I52" s="17"/>
      <c r="J52" s="17"/>
      <c r="K52" s="17"/>
      <c r="L52" s="17"/>
    </row>
    <row r="53" spans="1:12" x14ac:dyDescent="0.35">
      <c r="A53" s="12" t="s">
        <v>80</v>
      </c>
      <c r="B53" s="3" t="s">
        <v>73</v>
      </c>
      <c r="C53" s="4">
        <f>IF(COUNTBLANK(C46:C49)&gt;0,"",C37*C46+C40*C47+C41*C48+C42*C49)</f>
        <v>112358.16</v>
      </c>
      <c r="D53" s="20"/>
      <c r="E53" s="17"/>
      <c r="F53" s="17"/>
      <c r="G53" s="17"/>
      <c r="H53" s="17"/>
      <c r="I53" s="17"/>
      <c r="J53" s="17"/>
      <c r="K53" s="17"/>
      <c r="L53" s="17"/>
    </row>
    <row r="55" spans="1:12" x14ac:dyDescent="0.35">
      <c r="A55" s="24" t="s">
        <v>81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 spans="1:12" x14ac:dyDescent="0.35">
      <c r="A56" s="1" t="s">
        <v>82</v>
      </c>
      <c r="B56" s="1" t="s">
        <v>19</v>
      </c>
      <c r="C56" s="1" t="s">
        <v>20</v>
      </c>
      <c r="D56" s="21" t="s">
        <v>83</v>
      </c>
      <c r="E56" s="17"/>
      <c r="F56" s="17"/>
      <c r="G56" s="17"/>
      <c r="H56" s="17"/>
      <c r="I56" s="17"/>
      <c r="J56" s="17"/>
      <c r="K56" s="17"/>
      <c r="L56" s="17"/>
    </row>
    <row r="57" spans="1:12" x14ac:dyDescent="0.35">
      <c r="A57" s="12" t="s">
        <v>84</v>
      </c>
      <c r="B57" s="3" t="s">
        <v>97</v>
      </c>
      <c r="C57" s="4">
        <f>IF(C52="","",C5*C52*(C9*C31+C10*C32+C11*C33))</f>
        <v>1150.767508275</v>
      </c>
      <c r="D57" s="20"/>
      <c r="E57" s="17"/>
      <c r="F57" s="17"/>
      <c r="G57" s="17"/>
      <c r="H57" s="17"/>
      <c r="I57" s="17"/>
      <c r="J57" s="17"/>
      <c r="K57" s="17"/>
      <c r="L57" s="17"/>
    </row>
    <row r="58" spans="1:12" x14ac:dyDescent="0.35">
      <c r="A58" s="12" t="s">
        <v>85</v>
      </c>
      <c r="B58" s="3" t="s">
        <v>97</v>
      </c>
      <c r="C58" s="4">
        <f>C6*((C37*C46*(C15*C30+C16*C26+C17*C28+C18*C25+C19*C27+C20*C29))+(C40*C47*(C15*C30+C16*C26+C17*C28+C18*C25+C19*C27+C20*C29))+(C41*C48*(C15*C30+C16*C26+C17*C28+C18*C25+C19*C27+C20*C29))+(C42*C49*(D15*C30+D16*C26+D17*C28+D18*C25+D19*C27+D20*C29)))</f>
        <v>381599.00908629072</v>
      </c>
      <c r="D58" s="20"/>
      <c r="E58" s="17"/>
      <c r="F58" s="17"/>
      <c r="G58" s="17"/>
      <c r="H58" s="17"/>
      <c r="I58" s="17"/>
      <c r="J58" s="17"/>
      <c r="K58" s="17"/>
      <c r="L58" s="17"/>
    </row>
    <row r="59" spans="1:12" x14ac:dyDescent="0.35">
      <c r="A59" s="13" t="s">
        <v>86</v>
      </c>
      <c r="B59" s="14" t="s">
        <v>97</v>
      </c>
      <c r="C59" s="15">
        <f>IF(OR(C57="",C58=""),"",C57+C58)</f>
        <v>382749.77659456572</v>
      </c>
      <c r="D59" s="16" t="e">
        <f>E_EV + E_Conv</f>
        <v>#NAME?</v>
      </c>
      <c r="E59" s="17"/>
      <c r="F59" s="17"/>
      <c r="G59" s="17"/>
      <c r="H59" s="17"/>
      <c r="I59" s="17"/>
      <c r="J59" s="17"/>
      <c r="K59" s="17"/>
      <c r="L59" s="17"/>
    </row>
    <row r="60" spans="1:12" x14ac:dyDescent="0.35">
      <c r="A60" s="2" t="s">
        <v>87</v>
      </c>
      <c r="B60" s="3" t="s">
        <v>98</v>
      </c>
      <c r="C60" s="4">
        <f>IF(C59="","",C59/3.6)</f>
        <v>106319.38238737936</v>
      </c>
      <c r="D60" s="8" t="e">
        <f>Total MJ / 3.6</f>
        <v>#NAME?</v>
      </c>
    </row>
    <row r="61" spans="1:12" x14ac:dyDescent="0.35">
      <c r="A61" s="2" t="s">
        <v>88</v>
      </c>
      <c r="B61" s="3" t="s">
        <v>99</v>
      </c>
      <c r="C61" s="5">
        <f>IF(C59="","",C59/3600000)</f>
        <v>0.10631938238737937</v>
      </c>
      <c r="D61" s="8"/>
    </row>
    <row r="62" spans="1:12" x14ac:dyDescent="0.35">
      <c r="A62" s="2" t="s">
        <v>89</v>
      </c>
      <c r="B62" s="3" t="s">
        <v>100</v>
      </c>
      <c r="C62" s="5">
        <f>IF(C59="","",C59/1000000)</f>
        <v>0.38274977659456572</v>
      </c>
      <c r="D62" s="8"/>
    </row>
  </sheetData>
  <mergeCells count="40">
    <mergeCell ref="D57:L57"/>
    <mergeCell ref="D27:L27"/>
    <mergeCell ref="D32:L32"/>
    <mergeCell ref="D41:L41"/>
    <mergeCell ref="D48:L48"/>
    <mergeCell ref="D56:L56"/>
    <mergeCell ref="D38:L38"/>
    <mergeCell ref="A44:L44"/>
    <mergeCell ref="D26:L26"/>
    <mergeCell ref="A3:L3"/>
    <mergeCell ref="D53:L53"/>
    <mergeCell ref="D47:L47"/>
    <mergeCell ref="A55:L55"/>
    <mergeCell ref="D37:L37"/>
    <mergeCell ref="D28:L28"/>
    <mergeCell ref="D4:L4"/>
    <mergeCell ref="A23:L23"/>
    <mergeCell ref="A8:L8"/>
    <mergeCell ref="A14:L14"/>
    <mergeCell ref="D5:L5"/>
    <mergeCell ref="D49:L49"/>
    <mergeCell ref="D33:L33"/>
    <mergeCell ref="D29:L29"/>
    <mergeCell ref="D42:L42"/>
    <mergeCell ref="D59:L59"/>
    <mergeCell ref="A51:L51"/>
    <mergeCell ref="A1:L1"/>
    <mergeCell ref="D46:L46"/>
    <mergeCell ref="D40:L40"/>
    <mergeCell ref="D31:L31"/>
    <mergeCell ref="D45:L45"/>
    <mergeCell ref="D36:L36"/>
    <mergeCell ref="D6:L6"/>
    <mergeCell ref="D52:L52"/>
    <mergeCell ref="D58:L58"/>
    <mergeCell ref="D39:L39"/>
    <mergeCell ref="D25:L25"/>
    <mergeCell ref="A35:L35"/>
    <mergeCell ref="D24:L24"/>
    <mergeCell ref="D30:L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2"/>
  <sheetViews>
    <sheetView topLeftCell="A47" workbookViewId="0">
      <selection activeCell="B57" sqref="B57:B62"/>
    </sheetView>
  </sheetViews>
  <sheetFormatPr defaultRowHeight="14.5" x14ac:dyDescent="0.35"/>
  <cols>
    <col min="1" max="1" width="42" customWidth="1"/>
    <col min="2" max="10" width="14" customWidth="1"/>
    <col min="11" max="11" width="16" customWidth="1"/>
    <col min="12" max="12" width="50" customWidth="1"/>
  </cols>
  <sheetData>
    <row r="1" spans="1:12" ht="26" customHeight="1" x14ac:dyDescent="0.35">
      <c r="A1" s="19" t="s">
        <v>90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x14ac:dyDescent="0.35">
      <c r="A3" s="23" t="s">
        <v>17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x14ac:dyDescent="0.35">
      <c r="A4" s="6" t="s">
        <v>18</v>
      </c>
      <c r="B4" s="6" t="s">
        <v>19</v>
      </c>
      <c r="C4" s="6" t="s">
        <v>20</v>
      </c>
      <c r="D4" s="25" t="s">
        <v>21</v>
      </c>
      <c r="E4" s="17"/>
      <c r="F4" s="17"/>
      <c r="G4" s="17"/>
      <c r="H4" s="17"/>
      <c r="I4" s="17"/>
      <c r="J4" s="17"/>
      <c r="K4" s="17"/>
      <c r="L4" s="17"/>
    </row>
    <row r="5" spans="1:12" x14ac:dyDescent="0.35">
      <c r="A5" s="2" t="s">
        <v>22</v>
      </c>
      <c r="B5" s="3" t="s">
        <v>23</v>
      </c>
      <c r="C5" s="7">
        <v>0.55000000000000004</v>
      </c>
      <c r="D5" s="20" t="s">
        <v>24</v>
      </c>
      <c r="E5" s="17"/>
      <c r="F5" s="17"/>
      <c r="G5" s="17"/>
      <c r="H5" s="17"/>
      <c r="I5" s="17"/>
      <c r="J5" s="17"/>
      <c r="K5" s="17"/>
      <c r="L5" s="17"/>
    </row>
    <row r="6" spans="1:12" x14ac:dyDescent="0.35">
      <c r="A6" s="2" t="s">
        <v>25</v>
      </c>
      <c r="B6" s="3" t="s">
        <v>23</v>
      </c>
      <c r="C6" s="7">
        <v>0.45</v>
      </c>
      <c r="D6" s="20" t="s">
        <v>26</v>
      </c>
      <c r="E6" s="17"/>
      <c r="F6" s="17"/>
      <c r="G6" s="17"/>
      <c r="H6" s="17"/>
      <c r="I6" s="17"/>
      <c r="J6" s="17"/>
      <c r="K6" s="17"/>
      <c r="L6" s="17"/>
    </row>
    <row r="8" spans="1:12" x14ac:dyDescent="0.35">
      <c r="A8" s="22" t="s">
        <v>92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 x14ac:dyDescent="0.35">
      <c r="A9" s="2" t="s">
        <v>28</v>
      </c>
      <c r="B9" s="3" t="s">
        <v>23</v>
      </c>
      <c r="C9" s="7">
        <v>0.78</v>
      </c>
      <c r="D9">
        <f>ROUND((0.85/0.91)*C9, 4)</f>
        <v>0.72860000000000003</v>
      </c>
    </row>
    <row r="10" spans="1:12" x14ac:dyDescent="0.35">
      <c r="A10" s="2" t="s">
        <v>29</v>
      </c>
      <c r="B10" s="3" t="s">
        <v>23</v>
      </c>
      <c r="C10" s="7">
        <v>0.13</v>
      </c>
      <c r="D10">
        <f>ROUND((0.85/0.91)*C10, 4)</f>
        <v>0.12139999999999999</v>
      </c>
    </row>
    <row r="11" spans="1:12" x14ac:dyDescent="0.35">
      <c r="A11" s="2" t="s">
        <v>30</v>
      </c>
      <c r="B11" s="3" t="s">
        <v>23</v>
      </c>
      <c r="C11" s="7">
        <v>0.09</v>
      </c>
      <c r="D11">
        <v>0.15</v>
      </c>
    </row>
    <row r="12" spans="1:12" x14ac:dyDescent="0.35">
      <c r="A12" s="8" t="s">
        <v>31</v>
      </c>
      <c r="B12" s="3" t="s">
        <v>23</v>
      </c>
      <c r="C12" s="9">
        <f>C9+C10+C11</f>
        <v>1</v>
      </c>
      <c r="D12">
        <f>SUM(D9,D11,D10)</f>
        <v>1</v>
      </c>
    </row>
    <row r="14" spans="1:12" x14ac:dyDescent="0.35">
      <c r="A14" s="22" t="s">
        <v>91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2" x14ac:dyDescent="0.35">
      <c r="A15" s="2" t="s">
        <v>32</v>
      </c>
      <c r="B15" s="3" t="s">
        <v>23</v>
      </c>
      <c r="C15" s="7">
        <v>0.09</v>
      </c>
      <c r="D15">
        <v>0.15</v>
      </c>
    </row>
    <row r="16" spans="1:12" x14ac:dyDescent="0.35">
      <c r="A16" s="2" t="s">
        <v>33</v>
      </c>
      <c r="B16" s="3" t="s">
        <v>23</v>
      </c>
      <c r="C16" s="7">
        <v>0.1152</v>
      </c>
      <c r="D16">
        <f>ROUND((0.85/0.91)*C16, 5)</f>
        <v>0.1076</v>
      </c>
    </row>
    <row r="17" spans="1:12" x14ac:dyDescent="0.35">
      <c r="A17" s="2" t="s">
        <v>34</v>
      </c>
      <c r="B17" s="3" t="s">
        <v>23</v>
      </c>
      <c r="C17" s="7">
        <v>1.2800000000000001E-2</v>
      </c>
      <c r="D17">
        <f>ROUND((0.85/0.91)*C17, 5)</f>
        <v>1.196E-2</v>
      </c>
    </row>
    <row r="18" spans="1:12" x14ac:dyDescent="0.35">
      <c r="A18" s="2" t="s">
        <v>35</v>
      </c>
      <c r="B18" s="3" t="s">
        <v>23</v>
      </c>
      <c r="C18" s="7">
        <v>0.4113</v>
      </c>
      <c r="D18">
        <f>ROUND((0.85/0.91)*C18, 5)</f>
        <v>0.38418000000000002</v>
      </c>
    </row>
    <row r="19" spans="1:12" x14ac:dyDescent="0.35">
      <c r="A19" s="2" t="s">
        <v>36</v>
      </c>
      <c r="B19" s="3" t="s">
        <v>23</v>
      </c>
      <c r="C19" s="7">
        <v>0.36549999999999999</v>
      </c>
      <c r="D19">
        <f>ROUND((0.85/0.91)*C19, 5)</f>
        <v>0.34139999999999998</v>
      </c>
    </row>
    <row r="20" spans="1:12" x14ac:dyDescent="0.35">
      <c r="A20" s="2" t="s">
        <v>37</v>
      </c>
      <c r="B20" s="3" t="s">
        <v>23</v>
      </c>
      <c r="C20" s="7">
        <v>5.1999999999999998E-3</v>
      </c>
      <c r="D20">
        <f>ROUND((0.85/0.91)*C20, 5)</f>
        <v>4.8599999999999997E-3</v>
      </c>
    </row>
    <row r="21" spans="1:12" x14ac:dyDescent="0.35">
      <c r="A21" s="8" t="s">
        <v>38</v>
      </c>
      <c r="B21" s="3" t="s">
        <v>23</v>
      </c>
      <c r="C21" s="9">
        <f>SUM(C15:C20)</f>
        <v>0.99999999999999989</v>
      </c>
      <c r="D21">
        <f>SUM(D15:D20)</f>
        <v>0.99999999999999989</v>
      </c>
    </row>
    <row r="23" spans="1:12" x14ac:dyDescent="0.35">
      <c r="A23" s="22" t="s">
        <v>39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35">
      <c r="A24" s="1" t="s">
        <v>18</v>
      </c>
      <c r="B24" s="1" t="s">
        <v>19</v>
      </c>
      <c r="C24" s="1" t="s">
        <v>20</v>
      </c>
      <c r="D24" s="21" t="s">
        <v>21</v>
      </c>
      <c r="E24" s="17"/>
      <c r="F24" s="17"/>
      <c r="G24" s="17"/>
      <c r="H24" s="17"/>
      <c r="I24" s="17"/>
      <c r="J24" s="17"/>
      <c r="K24" s="17"/>
      <c r="L24" s="17"/>
    </row>
    <row r="25" spans="1:12" x14ac:dyDescent="0.35">
      <c r="A25" s="2" t="s">
        <v>40</v>
      </c>
      <c r="B25" s="3" t="s">
        <v>41</v>
      </c>
      <c r="C25" s="10">
        <v>2.4300000000000002</v>
      </c>
      <c r="D25" s="20" t="s">
        <v>42</v>
      </c>
      <c r="E25" s="17"/>
      <c r="F25" s="17"/>
      <c r="G25" s="17"/>
      <c r="H25" s="17"/>
      <c r="I25" s="17"/>
      <c r="J25" s="17"/>
      <c r="K25" s="17"/>
      <c r="L25" s="17"/>
    </row>
    <row r="26" spans="1:12" x14ac:dyDescent="0.35">
      <c r="A26" s="2" t="s">
        <v>43</v>
      </c>
      <c r="B26" s="3" t="s">
        <v>41</v>
      </c>
      <c r="C26" s="10">
        <v>3.37</v>
      </c>
      <c r="D26" s="20" t="s">
        <v>44</v>
      </c>
      <c r="E26" s="17"/>
      <c r="F26" s="17"/>
      <c r="G26" s="17"/>
      <c r="H26" s="17"/>
      <c r="I26" s="17"/>
      <c r="J26" s="17"/>
      <c r="K26" s="17"/>
      <c r="L26" s="17"/>
    </row>
    <row r="27" spans="1:12" x14ac:dyDescent="0.35">
      <c r="A27" s="2" t="s">
        <v>45</v>
      </c>
      <c r="B27" s="3" t="s">
        <v>41</v>
      </c>
      <c r="C27" s="10">
        <v>2.71</v>
      </c>
      <c r="D27" s="20" t="s">
        <v>46</v>
      </c>
      <c r="E27" s="17"/>
      <c r="F27" s="17"/>
      <c r="G27" s="17"/>
      <c r="H27" s="17"/>
      <c r="I27" s="17"/>
      <c r="J27" s="17"/>
      <c r="K27" s="17"/>
      <c r="L27" s="17"/>
    </row>
    <row r="28" spans="1:12" x14ac:dyDescent="0.35">
      <c r="A28" s="2" t="s">
        <v>47</v>
      </c>
      <c r="B28" s="3" t="s">
        <v>41</v>
      </c>
      <c r="C28" s="10">
        <v>3.17</v>
      </c>
      <c r="D28" s="20" t="s">
        <v>48</v>
      </c>
      <c r="E28" s="17"/>
      <c r="F28" s="17"/>
      <c r="G28" s="17"/>
      <c r="H28" s="17"/>
      <c r="I28" s="17"/>
      <c r="J28" s="17"/>
      <c r="K28" s="17"/>
      <c r="L28" s="17"/>
    </row>
    <row r="29" spans="1:12" x14ac:dyDescent="0.35">
      <c r="A29" s="2" t="s">
        <v>49</v>
      </c>
      <c r="B29" s="3" t="s">
        <v>41</v>
      </c>
      <c r="C29" s="10">
        <v>2.71</v>
      </c>
      <c r="D29" s="20" t="s">
        <v>50</v>
      </c>
      <c r="E29" s="17"/>
      <c r="F29" s="17"/>
      <c r="G29" s="17"/>
      <c r="H29" s="17"/>
      <c r="I29" s="17"/>
      <c r="J29" s="17"/>
      <c r="K29" s="17"/>
      <c r="L29" s="17"/>
    </row>
    <row r="30" spans="1:12" x14ac:dyDescent="0.35">
      <c r="A30" s="2" t="s">
        <v>51</v>
      </c>
      <c r="B30" s="3" t="s">
        <v>41</v>
      </c>
      <c r="C30" s="10">
        <v>9.26</v>
      </c>
      <c r="D30" s="20" t="s">
        <v>52</v>
      </c>
      <c r="E30" s="17"/>
      <c r="F30" s="17"/>
      <c r="G30" s="17"/>
      <c r="H30" s="17"/>
      <c r="I30" s="17"/>
      <c r="J30" s="17"/>
      <c r="K30" s="17"/>
      <c r="L30" s="17"/>
    </row>
    <row r="31" spans="1:12" x14ac:dyDescent="0.35">
      <c r="A31" s="2" t="s">
        <v>53</v>
      </c>
      <c r="B31" s="3" t="s">
        <v>41</v>
      </c>
      <c r="C31" s="10">
        <v>0.69</v>
      </c>
      <c r="D31" s="20" t="s">
        <v>54</v>
      </c>
      <c r="E31" s="17"/>
      <c r="F31" s="17"/>
      <c r="G31" s="17"/>
      <c r="H31" s="17"/>
      <c r="I31" s="17"/>
      <c r="J31" s="17"/>
      <c r="K31" s="17"/>
      <c r="L31" s="17"/>
    </row>
    <row r="32" spans="1:12" x14ac:dyDescent="0.35">
      <c r="A32" s="2" t="s">
        <v>55</v>
      </c>
      <c r="B32" s="3" t="s">
        <v>41</v>
      </c>
      <c r="C32" s="10">
        <v>0.86</v>
      </c>
      <c r="D32" s="20" t="s">
        <v>54</v>
      </c>
      <c r="E32" s="17"/>
      <c r="F32" s="17"/>
      <c r="G32" s="17"/>
      <c r="H32" s="17"/>
      <c r="I32" s="17"/>
      <c r="J32" s="17"/>
      <c r="K32" s="17"/>
      <c r="L32" s="17"/>
    </row>
    <row r="33" spans="1:12" x14ac:dyDescent="0.35">
      <c r="A33" s="2" t="s">
        <v>56</v>
      </c>
      <c r="B33" s="3" t="s">
        <v>41</v>
      </c>
      <c r="C33" s="10">
        <v>3.97</v>
      </c>
      <c r="D33" s="20" t="s">
        <v>57</v>
      </c>
      <c r="E33" s="17"/>
      <c r="F33" s="17"/>
      <c r="G33" s="17"/>
      <c r="H33" s="17"/>
      <c r="I33" s="17"/>
      <c r="J33" s="17"/>
      <c r="K33" s="17"/>
      <c r="L33" s="17"/>
    </row>
    <row r="35" spans="1:12" x14ac:dyDescent="0.35">
      <c r="A35" s="22" t="s">
        <v>58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x14ac:dyDescent="0.35">
      <c r="A36" s="1" t="s">
        <v>18</v>
      </c>
      <c r="B36" s="1" t="s">
        <v>19</v>
      </c>
      <c r="C36" s="1" t="s">
        <v>20</v>
      </c>
      <c r="D36" s="21" t="s">
        <v>21</v>
      </c>
      <c r="E36" s="17"/>
      <c r="F36" s="17"/>
      <c r="G36" s="17"/>
      <c r="H36" s="17"/>
      <c r="I36" s="17"/>
      <c r="J36" s="17"/>
      <c r="K36" s="17"/>
      <c r="L36" s="17"/>
    </row>
    <row r="37" spans="1:12" x14ac:dyDescent="0.35">
      <c r="A37" s="2" t="s">
        <v>59</v>
      </c>
      <c r="B37" s="3" t="s">
        <v>23</v>
      </c>
      <c r="C37" s="7">
        <v>1</v>
      </c>
      <c r="D37" s="20" t="s">
        <v>60</v>
      </c>
      <c r="E37" s="17"/>
      <c r="F37" s="17"/>
      <c r="G37" s="17"/>
      <c r="H37" s="17"/>
      <c r="I37" s="17"/>
      <c r="J37" s="17"/>
      <c r="K37" s="17"/>
      <c r="L37" s="17"/>
    </row>
    <row r="38" spans="1:12" x14ac:dyDescent="0.35">
      <c r="A38" s="2" t="s">
        <v>61</v>
      </c>
      <c r="B38" s="3" t="s">
        <v>23</v>
      </c>
      <c r="C38" s="7">
        <v>0.8</v>
      </c>
      <c r="D38" s="20" t="s">
        <v>62</v>
      </c>
      <c r="E38" s="17"/>
      <c r="F38" s="17"/>
      <c r="G38" s="17"/>
      <c r="H38" s="17"/>
      <c r="I38" s="17"/>
      <c r="J38" s="17"/>
      <c r="K38" s="17"/>
      <c r="L38" s="17"/>
    </row>
    <row r="39" spans="1:12" x14ac:dyDescent="0.35">
      <c r="A39" s="2" t="s">
        <v>63</v>
      </c>
      <c r="B39" s="3" t="s">
        <v>23</v>
      </c>
      <c r="C39" s="7">
        <v>0.2</v>
      </c>
      <c r="D39" s="20" t="s">
        <v>64</v>
      </c>
      <c r="E39" s="17"/>
      <c r="F39" s="17"/>
      <c r="G39" s="17"/>
      <c r="H39" s="17"/>
      <c r="I39" s="17"/>
      <c r="J39" s="17"/>
      <c r="K39" s="17"/>
      <c r="L39" s="17"/>
    </row>
    <row r="40" spans="1:12" x14ac:dyDescent="0.35">
      <c r="A40" s="2" t="s">
        <v>65</v>
      </c>
      <c r="B40" s="3" t="s">
        <v>23</v>
      </c>
      <c r="C40" s="7">
        <v>0.5</v>
      </c>
      <c r="D40" s="20" t="s">
        <v>66</v>
      </c>
      <c r="E40" s="17"/>
      <c r="F40" s="17"/>
      <c r="G40" s="17"/>
      <c r="H40" s="17"/>
      <c r="I40" s="17"/>
      <c r="J40" s="17"/>
      <c r="K40" s="17"/>
      <c r="L40" s="17"/>
    </row>
    <row r="41" spans="1:12" x14ac:dyDescent="0.35">
      <c r="A41" s="2" t="s">
        <v>67</v>
      </c>
      <c r="B41" s="3" t="s">
        <v>23</v>
      </c>
      <c r="C41" s="7">
        <v>0.5</v>
      </c>
      <c r="D41" s="20" t="s">
        <v>66</v>
      </c>
      <c r="E41" s="17"/>
      <c r="F41" s="17"/>
      <c r="G41" s="17"/>
      <c r="H41" s="17"/>
      <c r="I41" s="17"/>
      <c r="J41" s="17"/>
      <c r="K41" s="17"/>
      <c r="L41" s="17"/>
    </row>
    <row r="42" spans="1:12" x14ac:dyDescent="0.35">
      <c r="A42" s="2" t="s">
        <v>68</v>
      </c>
      <c r="B42" s="3" t="s">
        <v>23</v>
      </c>
      <c r="C42" s="7">
        <v>0.05</v>
      </c>
      <c r="D42" s="20" t="s">
        <v>69</v>
      </c>
      <c r="E42" s="17"/>
      <c r="F42" s="17"/>
      <c r="G42" s="17"/>
      <c r="H42" s="17"/>
      <c r="I42" s="17"/>
      <c r="J42" s="17"/>
      <c r="K42" s="17"/>
      <c r="L42" s="17"/>
    </row>
    <row r="44" spans="1:12" x14ac:dyDescent="0.35">
      <c r="A44" s="26" t="s">
        <v>70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spans="1:12" x14ac:dyDescent="0.35">
      <c r="A45" s="1" t="s">
        <v>18</v>
      </c>
      <c r="B45" s="1" t="s">
        <v>19</v>
      </c>
      <c r="C45" s="1" t="s">
        <v>20</v>
      </c>
      <c r="D45" s="21" t="s">
        <v>71</v>
      </c>
      <c r="E45" s="17"/>
      <c r="F45" s="17"/>
      <c r="G45" s="17"/>
      <c r="H45" s="17"/>
      <c r="I45" s="17"/>
      <c r="J45" s="17"/>
      <c r="K45" s="17"/>
      <c r="L45" s="17"/>
    </row>
    <row r="46" spans="1:12" x14ac:dyDescent="0.35">
      <c r="A46" s="2" t="s">
        <v>72</v>
      </c>
      <c r="B46" s="3" t="s">
        <v>73</v>
      </c>
      <c r="C46" s="11">
        <v>0</v>
      </c>
      <c r="D46" s="20" t="s">
        <v>74</v>
      </c>
      <c r="E46" s="17"/>
      <c r="F46" s="17"/>
      <c r="G46" s="17"/>
      <c r="H46" s="17"/>
      <c r="I46" s="17"/>
      <c r="J46" s="17"/>
      <c r="K46" s="17"/>
      <c r="L46" s="17"/>
    </row>
    <row r="47" spans="1:12" x14ac:dyDescent="0.35">
      <c r="A47" s="2" t="s">
        <v>75</v>
      </c>
      <c r="B47" s="3" t="s">
        <v>73</v>
      </c>
      <c r="C47" s="11">
        <v>73725</v>
      </c>
      <c r="D47" s="20" t="s">
        <v>74</v>
      </c>
      <c r="E47" s="17"/>
      <c r="F47" s="17"/>
      <c r="G47" s="17"/>
      <c r="H47" s="17"/>
      <c r="I47" s="17"/>
      <c r="J47" s="17"/>
      <c r="K47" s="17"/>
      <c r="L47" s="17"/>
    </row>
    <row r="48" spans="1:12" x14ac:dyDescent="0.35">
      <c r="A48" s="2" t="s">
        <v>76</v>
      </c>
      <c r="B48" s="3" t="s">
        <v>73</v>
      </c>
      <c r="C48" s="11">
        <v>49738.6</v>
      </c>
      <c r="D48" s="20" t="s">
        <v>74</v>
      </c>
      <c r="E48" s="17"/>
      <c r="F48" s="17"/>
      <c r="G48" s="17"/>
      <c r="H48" s="17"/>
      <c r="I48" s="17"/>
      <c r="J48" s="17"/>
      <c r="K48" s="17"/>
      <c r="L48" s="17"/>
    </row>
    <row r="49" spans="1:12" x14ac:dyDescent="0.35">
      <c r="A49" s="2" t="s">
        <v>77</v>
      </c>
      <c r="B49" s="3" t="s">
        <v>73</v>
      </c>
      <c r="C49" s="11">
        <v>1012528.2</v>
      </c>
      <c r="D49" s="20" t="s">
        <v>74</v>
      </c>
      <c r="E49" s="17"/>
      <c r="F49" s="17"/>
      <c r="G49" s="17"/>
      <c r="H49" s="17"/>
      <c r="I49" s="17"/>
      <c r="J49" s="17"/>
      <c r="K49" s="17"/>
      <c r="L49" s="17"/>
    </row>
    <row r="51" spans="1:12" x14ac:dyDescent="0.35">
      <c r="A51" s="18" t="s">
        <v>78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spans="1:12" x14ac:dyDescent="0.35">
      <c r="A52" s="12" t="s">
        <v>79</v>
      </c>
      <c r="B52" s="3" t="s">
        <v>73</v>
      </c>
      <c r="C52" s="4">
        <f>IF(COUNTBLANK(C46:C49)&gt;0,"",C37*C46+C38*C47+C39*C48+C42*C49)</f>
        <v>119554.13</v>
      </c>
      <c r="D52" s="20" t="e">
        <f>A·II + B·IE + C·EI + D·EE</f>
        <v>#NAME?</v>
      </c>
      <c r="E52" s="17"/>
      <c r="F52" s="17"/>
      <c r="G52" s="17"/>
      <c r="H52" s="17"/>
      <c r="I52" s="17"/>
      <c r="J52" s="17"/>
      <c r="K52" s="17"/>
      <c r="L52" s="17"/>
    </row>
    <row r="53" spans="1:12" x14ac:dyDescent="0.35">
      <c r="A53" s="12" t="s">
        <v>80</v>
      </c>
      <c r="B53" s="3" t="s">
        <v>73</v>
      </c>
      <c r="C53" s="4">
        <f>IF(COUNTBLANK(C46:C49)&gt;0,"",C37*C46+C40*C47+C41*C48+C42*C49)</f>
        <v>112358.21</v>
      </c>
      <c r="D53" s="20"/>
      <c r="E53" s="17"/>
      <c r="F53" s="17"/>
      <c r="G53" s="17"/>
      <c r="H53" s="17"/>
      <c r="I53" s="17"/>
      <c r="J53" s="17"/>
      <c r="K53" s="17"/>
      <c r="L53" s="17"/>
    </row>
    <row r="55" spans="1:12" x14ac:dyDescent="0.35">
      <c r="A55" s="24" t="s">
        <v>81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 spans="1:12" x14ac:dyDescent="0.35">
      <c r="A56" s="1" t="s">
        <v>82</v>
      </c>
      <c r="B56" s="1" t="s">
        <v>19</v>
      </c>
      <c r="C56" s="1" t="s">
        <v>20</v>
      </c>
      <c r="D56" s="21" t="s">
        <v>83</v>
      </c>
      <c r="E56" s="17"/>
      <c r="F56" s="17"/>
      <c r="G56" s="17"/>
      <c r="H56" s="17"/>
      <c r="I56" s="17"/>
      <c r="J56" s="17"/>
      <c r="K56" s="17"/>
      <c r="L56" s="17"/>
    </row>
    <row r="57" spans="1:12" x14ac:dyDescent="0.35">
      <c r="A57" s="12" t="s">
        <v>84</v>
      </c>
      <c r="B57" s="3" t="s">
        <v>97</v>
      </c>
      <c r="C57" s="4">
        <f>C5*((C37*C46*(C9*C31+C10*C32+C11*C33))+(C38*C47*(C9*C31+C10*C32+C11*C33))+(C39*C48*(C9*C31+C10*C32+C11*C33))+(C42*C49*(D9*C31+D10*C32+D11*C33)))</f>
        <v>71673.875254069004</v>
      </c>
      <c r="D57" s="20"/>
      <c r="E57" s="17"/>
      <c r="F57" s="17"/>
      <c r="G57" s="17"/>
      <c r="H57" s="17"/>
      <c r="I57" s="17"/>
      <c r="J57" s="17"/>
      <c r="K57" s="17"/>
      <c r="L57" s="17"/>
    </row>
    <row r="58" spans="1:12" x14ac:dyDescent="0.35">
      <c r="A58" s="12" t="s">
        <v>85</v>
      </c>
      <c r="B58" s="3" t="s">
        <v>97</v>
      </c>
      <c r="C58" s="4">
        <f>C6*((C37*C46*(C15*C30+C16*C26+C17*C28+C18*C25+C19*C27+C20*C29))+(C40*C47*(C15*C30+C16*C26+C17*C28+C18*C25+C19*C27+C20*C29))+(C41*C48*(C15*C30+C16*C26+C17*C28+C18*C25+C19*C27+C20*C29))+(C42*C49*(D15*C30+D16*C26+D17*C28+D18*C25+D19*C27+D20*C29)))</f>
        <v>174149.00517660842</v>
      </c>
      <c r="D58" s="20"/>
      <c r="E58" s="17"/>
      <c r="F58" s="17"/>
      <c r="G58" s="17"/>
      <c r="H58" s="17"/>
      <c r="I58" s="17"/>
      <c r="J58" s="17"/>
      <c r="K58" s="17"/>
      <c r="L58" s="17"/>
    </row>
    <row r="59" spans="1:12" x14ac:dyDescent="0.35">
      <c r="A59" s="13" t="s">
        <v>86</v>
      </c>
      <c r="B59" s="14" t="s">
        <v>97</v>
      </c>
      <c r="C59" s="15">
        <f>IF(OR(C57="",C58=""),"",C57+C58)</f>
        <v>245822.88043067744</v>
      </c>
      <c r="D59" s="16" t="e">
        <f>E_EV + E_Conv</f>
        <v>#NAME?</v>
      </c>
      <c r="E59" s="17"/>
      <c r="F59" s="17"/>
      <c r="G59" s="17"/>
      <c r="H59" s="17"/>
      <c r="I59" s="17"/>
      <c r="J59" s="17"/>
      <c r="K59" s="17"/>
      <c r="L59" s="17"/>
    </row>
    <row r="60" spans="1:12" x14ac:dyDescent="0.35">
      <c r="A60" s="2" t="s">
        <v>87</v>
      </c>
      <c r="B60" s="3" t="s">
        <v>98</v>
      </c>
      <c r="C60" s="4">
        <f>IF(C59="","",C59/3.6)</f>
        <v>68284.133452965951</v>
      </c>
      <c r="D60" s="8" t="e">
        <f>Total MJ / 3.6</f>
        <v>#NAME?</v>
      </c>
    </row>
    <row r="61" spans="1:12" x14ac:dyDescent="0.35">
      <c r="A61" s="2" t="s">
        <v>88</v>
      </c>
      <c r="B61" s="3" t="s">
        <v>99</v>
      </c>
      <c r="C61" s="5">
        <f>IF(C59="","",C59/3600000)</f>
        <v>6.8284133452965953E-2</v>
      </c>
      <c r="D61" s="8"/>
    </row>
    <row r="62" spans="1:12" x14ac:dyDescent="0.35">
      <c r="A62" s="2" t="s">
        <v>89</v>
      </c>
      <c r="B62" s="3" t="s">
        <v>100</v>
      </c>
      <c r="C62" s="5">
        <f>IF(C59="","",C59/1000000)</f>
        <v>0.24582288043067743</v>
      </c>
      <c r="D62" s="8"/>
    </row>
  </sheetData>
  <mergeCells count="40">
    <mergeCell ref="D57:L57"/>
    <mergeCell ref="D27:L27"/>
    <mergeCell ref="D32:L32"/>
    <mergeCell ref="D41:L41"/>
    <mergeCell ref="D48:L48"/>
    <mergeCell ref="D56:L56"/>
    <mergeCell ref="D38:L38"/>
    <mergeCell ref="A44:L44"/>
    <mergeCell ref="D26:L26"/>
    <mergeCell ref="A3:L3"/>
    <mergeCell ref="D53:L53"/>
    <mergeCell ref="D47:L47"/>
    <mergeCell ref="A55:L55"/>
    <mergeCell ref="D37:L37"/>
    <mergeCell ref="D28:L28"/>
    <mergeCell ref="D4:L4"/>
    <mergeCell ref="A23:L23"/>
    <mergeCell ref="A8:L8"/>
    <mergeCell ref="A14:L14"/>
    <mergeCell ref="D5:L5"/>
    <mergeCell ref="D49:L49"/>
    <mergeCell ref="D33:L33"/>
    <mergeCell ref="D29:L29"/>
    <mergeCell ref="D42:L42"/>
    <mergeCell ref="D59:L59"/>
    <mergeCell ref="A51:L51"/>
    <mergeCell ref="A1:L1"/>
    <mergeCell ref="D46:L46"/>
    <mergeCell ref="D40:L40"/>
    <mergeCell ref="D31:L31"/>
    <mergeCell ref="D45:L45"/>
    <mergeCell ref="D36:L36"/>
    <mergeCell ref="D6:L6"/>
    <mergeCell ref="D52:L52"/>
    <mergeCell ref="D58:L58"/>
    <mergeCell ref="D39:L39"/>
    <mergeCell ref="D25:L25"/>
    <mergeCell ref="A35:L35"/>
    <mergeCell ref="D24:L24"/>
    <mergeCell ref="D30:L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2"/>
  <sheetViews>
    <sheetView topLeftCell="A50" workbookViewId="0">
      <selection activeCell="C7" sqref="C7"/>
    </sheetView>
  </sheetViews>
  <sheetFormatPr defaultRowHeight="14.5" x14ac:dyDescent="0.35"/>
  <cols>
    <col min="1" max="1" width="42" customWidth="1"/>
    <col min="2" max="10" width="14" customWidth="1"/>
    <col min="11" max="11" width="16" customWidth="1"/>
    <col min="12" max="12" width="50" customWidth="1"/>
  </cols>
  <sheetData>
    <row r="1" spans="1:12" ht="26" customHeight="1" x14ac:dyDescent="0.35">
      <c r="A1" s="19" t="s">
        <v>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x14ac:dyDescent="0.35">
      <c r="A3" s="23" t="s">
        <v>17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x14ac:dyDescent="0.35">
      <c r="A4" s="6" t="s">
        <v>18</v>
      </c>
      <c r="B4" s="6" t="s">
        <v>19</v>
      </c>
      <c r="C4" s="6" t="s">
        <v>20</v>
      </c>
      <c r="D4" s="25" t="s">
        <v>21</v>
      </c>
      <c r="E4" s="17"/>
      <c r="F4" s="17"/>
      <c r="G4" s="17"/>
      <c r="H4" s="17"/>
      <c r="I4" s="17"/>
      <c r="J4" s="17"/>
      <c r="K4" s="17"/>
      <c r="L4" s="17"/>
    </row>
    <row r="5" spans="1:12" x14ac:dyDescent="0.35">
      <c r="A5" s="2" t="s">
        <v>22</v>
      </c>
      <c r="B5" s="3" t="s">
        <v>23</v>
      </c>
      <c r="C5" s="7">
        <v>0.9</v>
      </c>
      <c r="D5" s="20" t="s">
        <v>24</v>
      </c>
      <c r="E5" s="17"/>
      <c r="F5" s="17"/>
      <c r="G5" s="17"/>
      <c r="H5" s="17"/>
      <c r="I5" s="17"/>
      <c r="J5" s="17"/>
      <c r="K5" s="17"/>
      <c r="L5" s="17"/>
    </row>
    <row r="6" spans="1:12" x14ac:dyDescent="0.35">
      <c r="A6" s="2" t="s">
        <v>25</v>
      </c>
      <c r="B6" s="3" t="s">
        <v>23</v>
      </c>
      <c r="C6" s="7">
        <v>0.1</v>
      </c>
      <c r="D6" s="20" t="s">
        <v>26</v>
      </c>
      <c r="E6" s="17"/>
      <c r="F6" s="17"/>
      <c r="G6" s="17"/>
      <c r="H6" s="17"/>
      <c r="I6" s="17"/>
      <c r="J6" s="17"/>
      <c r="K6" s="17"/>
      <c r="L6" s="17"/>
    </row>
    <row r="8" spans="1:12" x14ac:dyDescent="0.35">
      <c r="A8" s="22" t="s">
        <v>92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 x14ac:dyDescent="0.35">
      <c r="A9" s="2" t="s">
        <v>28</v>
      </c>
      <c r="B9" s="3" t="s">
        <v>23</v>
      </c>
      <c r="C9" s="7">
        <v>0.78</v>
      </c>
      <c r="D9">
        <f>ROUND((0.85/0.91)*C9, 4)</f>
        <v>0.72860000000000003</v>
      </c>
      <c r="E9" s="7"/>
    </row>
    <row r="10" spans="1:12" x14ac:dyDescent="0.35">
      <c r="A10" s="2" t="s">
        <v>29</v>
      </c>
      <c r="B10" s="3" t="s">
        <v>23</v>
      </c>
      <c r="C10" s="7">
        <v>0.13</v>
      </c>
      <c r="D10">
        <f>ROUND((0.85/0.91)*C10, 4)</f>
        <v>0.12139999999999999</v>
      </c>
    </row>
    <row r="11" spans="1:12" x14ac:dyDescent="0.35">
      <c r="A11" s="2" t="s">
        <v>30</v>
      </c>
      <c r="B11" s="3" t="s">
        <v>23</v>
      </c>
      <c r="C11" s="7">
        <v>0.09</v>
      </c>
      <c r="D11">
        <v>0.15</v>
      </c>
    </row>
    <row r="12" spans="1:12" x14ac:dyDescent="0.35">
      <c r="A12" s="8" t="s">
        <v>31</v>
      </c>
      <c r="B12" s="3" t="s">
        <v>23</v>
      </c>
      <c r="C12" s="9">
        <f>C9+C10+C11</f>
        <v>1</v>
      </c>
      <c r="D12">
        <f>SUM(D9,D11,D10)</f>
        <v>1</v>
      </c>
    </row>
    <row r="14" spans="1:12" x14ac:dyDescent="0.35">
      <c r="A14" s="22" t="s">
        <v>91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2" x14ac:dyDescent="0.35">
      <c r="A15" s="2" t="s">
        <v>32</v>
      </c>
      <c r="B15" s="3" t="s">
        <v>23</v>
      </c>
      <c r="C15" s="7">
        <v>0.09</v>
      </c>
      <c r="D15">
        <v>0.15</v>
      </c>
    </row>
    <row r="16" spans="1:12" x14ac:dyDescent="0.35">
      <c r="A16" s="2" t="s">
        <v>33</v>
      </c>
      <c r="B16" s="3" t="s">
        <v>23</v>
      </c>
      <c r="C16" s="7">
        <v>0.1152</v>
      </c>
      <c r="D16">
        <f>ROUND((0.85/0.91)*C16, 5)</f>
        <v>0.1076</v>
      </c>
      <c r="E16" s="7"/>
    </row>
    <row r="17" spans="1:12" x14ac:dyDescent="0.35">
      <c r="A17" s="2" t="s">
        <v>34</v>
      </c>
      <c r="B17" s="3" t="s">
        <v>23</v>
      </c>
      <c r="C17" s="7">
        <v>1.2800000000000001E-2</v>
      </c>
      <c r="D17">
        <f>ROUND((0.85/0.91)*C17, 5)</f>
        <v>1.196E-2</v>
      </c>
    </row>
    <row r="18" spans="1:12" x14ac:dyDescent="0.35">
      <c r="A18" s="2" t="s">
        <v>35</v>
      </c>
      <c r="B18" s="3" t="s">
        <v>23</v>
      </c>
      <c r="C18" s="7">
        <v>0.4113</v>
      </c>
      <c r="D18">
        <f>ROUND((0.85/0.91)*C18, 5)</f>
        <v>0.38418000000000002</v>
      </c>
    </row>
    <row r="19" spans="1:12" x14ac:dyDescent="0.35">
      <c r="A19" s="2" t="s">
        <v>36</v>
      </c>
      <c r="B19" s="3" t="s">
        <v>23</v>
      </c>
      <c r="C19" s="7">
        <v>0.36549999999999999</v>
      </c>
      <c r="D19">
        <f>ROUND((0.85/0.91)*C19, 5)</f>
        <v>0.34139999999999998</v>
      </c>
    </row>
    <row r="20" spans="1:12" x14ac:dyDescent="0.35">
      <c r="A20" s="2" t="s">
        <v>37</v>
      </c>
      <c r="B20" s="3" t="s">
        <v>23</v>
      </c>
      <c r="C20" s="7">
        <v>5.1999999999999998E-3</v>
      </c>
      <c r="D20">
        <f>ROUND((0.85/0.91)*C20, 5)</f>
        <v>4.8599999999999997E-3</v>
      </c>
    </row>
    <row r="21" spans="1:12" x14ac:dyDescent="0.35">
      <c r="A21" s="8" t="s">
        <v>38</v>
      </c>
      <c r="B21" s="3" t="s">
        <v>23</v>
      </c>
      <c r="C21" s="9">
        <f>SUM(C15:C20)</f>
        <v>0.99999999999999989</v>
      </c>
      <c r="D21">
        <f>SUM(D15:D20)</f>
        <v>0.99999999999999989</v>
      </c>
    </row>
    <row r="23" spans="1:12" x14ac:dyDescent="0.35">
      <c r="A23" s="22" t="s">
        <v>39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35">
      <c r="A24" s="1" t="s">
        <v>18</v>
      </c>
      <c r="B24" s="1" t="s">
        <v>19</v>
      </c>
      <c r="C24" s="1" t="s">
        <v>20</v>
      </c>
      <c r="D24" s="21" t="s">
        <v>21</v>
      </c>
      <c r="E24" s="17"/>
      <c r="F24" s="17"/>
      <c r="G24" s="17"/>
      <c r="H24" s="17"/>
      <c r="I24" s="17"/>
      <c r="J24" s="17"/>
      <c r="K24" s="17"/>
      <c r="L24" s="17"/>
    </row>
    <row r="25" spans="1:12" x14ac:dyDescent="0.35">
      <c r="A25" s="2" t="s">
        <v>40</v>
      </c>
      <c r="B25" s="3" t="s">
        <v>41</v>
      </c>
      <c r="C25" s="10">
        <v>2.4300000000000002</v>
      </c>
      <c r="D25" s="20" t="s">
        <v>42</v>
      </c>
      <c r="E25" s="17"/>
      <c r="F25" s="17"/>
      <c r="G25" s="17"/>
      <c r="H25" s="17"/>
      <c r="I25" s="17"/>
      <c r="J25" s="17"/>
      <c r="K25" s="17"/>
      <c r="L25" s="17"/>
    </row>
    <row r="26" spans="1:12" x14ac:dyDescent="0.35">
      <c r="A26" s="2" t="s">
        <v>43</v>
      </c>
      <c r="B26" s="3" t="s">
        <v>41</v>
      </c>
      <c r="C26" s="10">
        <v>3.37</v>
      </c>
      <c r="D26" s="20" t="s">
        <v>44</v>
      </c>
      <c r="E26" s="17"/>
      <c r="F26" s="17"/>
      <c r="G26" s="17"/>
      <c r="H26" s="17"/>
      <c r="I26" s="17"/>
      <c r="J26" s="17"/>
      <c r="K26" s="17"/>
      <c r="L26" s="17"/>
    </row>
    <row r="27" spans="1:12" x14ac:dyDescent="0.35">
      <c r="A27" s="2" t="s">
        <v>45</v>
      </c>
      <c r="B27" s="3" t="s">
        <v>41</v>
      </c>
      <c r="C27" s="10">
        <v>2.71</v>
      </c>
      <c r="D27" s="20" t="s">
        <v>46</v>
      </c>
      <c r="E27" s="17"/>
      <c r="F27" s="17"/>
      <c r="G27" s="17"/>
      <c r="H27" s="17"/>
      <c r="I27" s="17"/>
      <c r="J27" s="17"/>
      <c r="K27" s="17"/>
      <c r="L27" s="17"/>
    </row>
    <row r="28" spans="1:12" x14ac:dyDescent="0.35">
      <c r="A28" s="2" t="s">
        <v>47</v>
      </c>
      <c r="B28" s="3" t="s">
        <v>41</v>
      </c>
      <c r="C28" s="10">
        <v>3.17</v>
      </c>
      <c r="D28" s="20" t="s">
        <v>48</v>
      </c>
      <c r="E28" s="17"/>
      <c r="F28" s="17"/>
      <c r="G28" s="17"/>
      <c r="H28" s="17"/>
      <c r="I28" s="17"/>
      <c r="J28" s="17"/>
      <c r="K28" s="17"/>
      <c r="L28" s="17"/>
    </row>
    <row r="29" spans="1:12" x14ac:dyDescent="0.35">
      <c r="A29" s="2" t="s">
        <v>49</v>
      </c>
      <c r="B29" s="3" t="s">
        <v>41</v>
      </c>
      <c r="C29" s="10">
        <v>2.71</v>
      </c>
      <c r="D29" s="20" t="s">
        <v>50</v>
      </c>
      <c r="E29" s="17"/>
      <c r="F29" s="17"/>
      <c r="G29" s="17"/>
      <c r="H29" s="17"/>
      <c r="I29" s="17"/>
      <c r="J29" s="17"/>
      <c r="K29" s="17"/>
      <c r="L29" s="17"/>
    </row>
    <row r="30" spans="1:12" x14ac:dyDescent="0.35">
      <c r="A30" s="2" t="s">
        <v>51</v>
      </c>
      <c r="B30" s="3" t="s">
        <v>41</v>
      </c>
      <c r="C30" s="10">
        <v>9.26</v>
      </c>
      <c r="D30" s="20" t="s">
        <v>52</v>
      </c>
      <c r="E30" s="17"/>
      <c r="F30" s="17"/>
      <c r="G30" s="17"/>
      <c r="H30" s="17"/>
      <c r="I30" s="17"/>
      <c r="J30" s="17"/>
      <c r="K30" s="17"/>
      <c r="L30" s="17"/>
    </row>
    <row r="31" spans="1:12" x14ac:dyDescent="0.35">
      <c r="A31" s="2" t="s">
        <v>53</v>
      </c>
      <c r="B31" s="3" t="s">
        <v>41</v>
      </c>
      <c r="C31" s="10">
        <v>0.69</v>
      </c>
      <c r="D31" s="20" t="s">
        <v>54</v>
      </c>
      <c r="E31" s="17"/>
      <c r="F31" s="17"/>
      <c r="G31" s="17"/>
      <c r="H31" s="17"/>
      <c r="I31" s="17"/>
      <c r="J31" s="17"/>
      <c r="K31" s="17"/>
      <c r="L31" s="17"/>
    </row>
    <row r="32" spans="1:12" x14ac:dyDescent="0.35">
      <c r="A32" s="2" t="s">
        <v>55</v>
      </c>
      <c r="B32" s="3" t="s">
        <v>41</v>
      </c>
      <c r="C32" s="10">
        <v>0.86</v>
      </c>
      <c r="D32" s="20" t="s">
        <v>54</v>
      </c>
      <c r="E32" s="17"/>
      <c r="F32" s="17"/>
      <c r="G32" s="17"/>
      <c r="H32" s="17"/>
      <c r="I32" s="17"/>
      <c r="J32" s="17"/>
      <c r="K32" s="17"/>
      <c r="L32" s="17"/>
    </row>
    <row r="33" spans="1:12" x14ac:dyDescent="0.35">
      <c r="A33" s="2" t="s">
        <v>56</v>
      </c>
      <c r="B33" s="3" t="s">
        <v>41</v>
      </c>
      <c r="C33" s="10">
        <v>3.97</v>
      </c>
      <c r="D33" s="20" t="s">
        <v>57</v>
      </c>
      <c r="E33" s="17"/>
      <c r="F33" s="17"/>
      <c r="G33" s="17"/>
      <c r="H33" s="17"/>
      <c r="I33" s="17"/>
      <c r="J33" s="17"/>
      <c r="K33" s="17"/>
      <c r="L33" s="17"/>
    </row>
    <row r="35" spans="1:12" x14ac:dyDescent="0.35">
      <c r="A35" s="22" t="s">
        <v>58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x14ac:dyDescent="0.35">
      <c r="A36" s="1" t="s">
        <v>18</v>
      </c>
      <c r="B36" s="1" t="s">
        <v>19</v>
      </c>
      <c r="C36" s="1" t="s">
        <v>20</v>
      </c>
      <c r="D36" s="21" t="s">
        <v>21</v>
      </c>
      <c r="E36" s="17"/>
      <c r="F36" s="17"/>
      <c r="G36" s="17"/>
      <c r="H36" s="17"/>
      <c r="I36" s="17"/>
      <c r="J36" s="17"/>
      <c r="K36" s="17"/>
      <c r="L36" s="17"/>
    </row>
    <row r="37" spans="1:12" x14ac:dyDescent="0.35">
      <c r="A37" s="2" t="s">
        <v>59</v>
      </c>
      <c r="B37" s="3" t="s">
        <v>23</v>
      </c>
      <c r="C37" s="7">
        <v>1</v>
      </c>
      <c r="D37" s="20" t="s">
        <v>60</v>
      </c>
      <c r="E37" s="17"/>
      <c r="F37" s="17"/>
      <c r="G37" s="17"/>
      <c r="H37" s="17"/>
      <c r="I37" s="17"/>
      <c r="J37" s="17"/>
      <c r="K37" s="17"/>
      <c r="L37" s="17"/>
    </row>
    <row r="38" spans="1:12" x14ac:dyDescent="0.35">
      <c r="A38" s="2" t="s">
        <v>61</v>
      </c>
      <c r="B38" s="3" t="s">
        <v>23</v>
      </c>
      <c r="C38" s="7">
        <v>0.8</v>
      </c>
      <c r="D38" s="20" t="s">
        <v>62</v>
      </c>
      <c r="E38" s="17"/>
      <c r="F38" s="17"/>
      <c r="G38" s="17"/>
      <c r="H38" s="17"/>
      <c r="I38" s="17"/>
      <c r="J38" s="17"/>
      <c r="K38" s="17"/>
      <c r="L38" s="17"/>
    </row>
    <row r="39" spans="1:12" x14ac:dyDescent="0.35">
      <c r="A39" s="2" t="s">
        <v>63</v>
      </c>
      <c r="B39" s="3" t="s">
        <v>23</v>
      </c>
      <c r="C39" s="7">
        <v>0.2</v>
      </c>
      <c r="D39" s="20" t="s">
        <v>64</v>
      </c>
      <c r="E39" s="17"/>
      <c r="F39" s="17"/>
      <c r="G39" s="17"/>
      <c r="H39" s="17"/>
      <c r="I39" s="17"/>
      <c r="J39" s="17"/>
      <c r="K39" s="17"/>
      <c r="L39" s="17"/>
    </row>
    <row r="40" spans="1:12" x14ac:dyDescent="0.35">
      <c r="A40" s="2" t="s">
        <v>65</v>
      </c>
      <c r="B40" s="3" t="s">
        <v>23</v>
      </c>
      <c r="C40" s="7">
        <v>0.5</v>
      </c>
      <c r="D40" s="20" t="s">
        <v>66</v>
      </c>
      <c r="E40" s="17"/>
      <c r="F40" s="17"/>
      <c r="G40" s="17"/>
      <c r="H40" s="17"/>
      <c r="I40" s="17"/>
      <c r="J40" s="17"/>
      <c r="K40" s="17"/>
      <c r="L40" s="17"/>
    </row>
    <row r="41" spans="1:12" x14ac:dyDescent="0.35">
      <c r="A41" s="2" t="s">
        <v>67</v>
      </c>
      <c r="B41" s="3" t="s">
        <v>23</v>
      </c>
      <c r="C41" s="7">
        <v>0.5</v>
      </c>
      <c r="D41" s="20" t="s">
        <v>66</v>
      </c>
      <c r="E41" s="17"/>
      <c r="F41" s="17"/>
      <c r="G41" s="17"/>
      <c r="H41" s="17"/>
      <c r="I41" s="17"/>
      <c r="J41" s="17"/>
      <c r="K41" s="17"/>
      <c r="L41" s="17"/>
    </row>
    <row r="42" spans="1:12" x14ac:dyDescent="0.35">
      <c r="A42" s="2" t="s">
        <v>68</v>
      </c>
      <c r="B42" s="3" t="s">
        <v>23</v>
      </c>
      <c r="C42" s="7">
        <v>0.05</v>
      </c>
      <c r="D42" s="20" t="s">
        <v>69</v>
      </c>
      <c r="E42" s="17"/>
      <c r="F42" s="17"/>
      <c r="G42" s="17"/>
      <c r="H42" s="17"/>
      <c r="I42" s="17"/>
      <c r="J42" s="17"/>
      <c r="K42" s="17"/>
      <c r="L42" s="17"/>
    </row>
    <row r="44" spans="1:12" x14ac:dyDescent="0.35">
      <c r="A44" s="26" t="s">
        <v>70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spans="1:12" x14ac:dyDescent="0.35">
      <c r="A45" s="1" t="s">
        <v>18</v>
      </c>
      <c r="B45" s="1" t="s">
        <v>19</v>
      </c>
      <c r="C45" s="1" t="s">
        <v>20</v>
      </c>
      <c r="D45" s="21" t="s">
        <v>71</v>
      </c>
      <c r="E45" s="17"/>
      <c r="F45" s="17"/>
      <c r="G45" s="17"/>
      <c r="H45" s="17"/>
      <c r="I45" s="17"/>
      <c r="J45" s="17"/>
      <c r="K45" s="17"/>
      <c r="L45" s="17"/>
    </row>
    <row r="46" spans="1:12" x14ac:dyDescent="0.35">
      <c r="A46" s="2" t="s">
        <v>72</v>
      </c>
      <c r="B46" s="3" t="s">
        <v>73</v>
      </c>
      <c r="C46" s="11">
        <v>0</v>
      </c>
      <c r="D46" s="20" t="s">
        <v>74</v>
      </c>
      <c r="E46" s="17"/>
      <c r="F46" s="17"/>
      <c r="G46" s="17"/>
      <c r="H46" s="17"/>
      <c r="I46" s="17"/>
      <c r="J46" s="17"/>
      <c r="K46" s="17"/>
      <c r="L46" s="17"/>
    </row>
    <row r="47" spans="1:12" x14ac:dyDescent="0.35">
      <c r="A47" s="2" t="s">
        <v>75</v>
      </c>
      <c r="B47" s="3" t="s">
        <v>73</v>
      </c>
      <c r="C47" s="11">
        <v>73725</v>
      </c>
      <c r="D47" s="20" t="s">
        <v>74</v>
      </c>
      <c r="E47" s="17"/>
      <c r="F47" s="17"/>
      <c r="G47" s="17"/>
      <c r="H47" s="17"/>
      <c r="I47" s="17"/>
      <c r="J47" s="17"/>
      <c r="K47" s="17"/>
      <c r="L47" s="17"/>
    </row>
    <row r="48" spans="1:12" x14ac:dyDescent="0.35">
      <c r="A48" s="2" t="s">
        <v>76</v>
      </c>
      <c r="B48" s="3" t="s">
        <v>73</v>
      </c>
      <c r="C48" s="11">
        <v>49738.6</v>
      </c>
      <c r="D48" s="20" t="s">
        <v>74</v>
      </c>
      <c r="E48" s="17"/>
      <c r="F48" s="17"/>
      <c r="G48" s="17"/>
      <c r="H48" s="17"/>
      <c r="I48" s="17"/>
      <c r="J48" s="17"/>
      <c r="K48" s="17"/>
      <c r="L48" s="17"/>
    </row>
    <row r="49" spans="1:12" x14ac:dyDescent="0.35">
      <c r="A49" s="2" t="s">
        <v>77</v>
      </c>
      <c r="B49" s="3" t="s">
        <v>73</v>
      </c>
      <c r="C49" s="11">
        <v>1012528.2</v>
      </c>
      <c r="D49" s="20" t="s">
        <v>74</v>
      </c>
      <c r="E49" s="17"/>
      <c r="F49" s="17"/>
      <c r="G49" s="17"/>
      <c r="H49" s="17"/>
      <c r="I49" s="17"/>
      <c r="J49" s="17"/>
      <c r="K49" s="17"/>
      <c r="L49" s="17"/>
    </row>
    <row r="51" spans="1:12" x14ac:dyDescent="0.35">
      <c r="A51" s="18" t="s">
        <v>78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spans="1:12" x14ac:dyDescent="0.35">
      <c r="A52" s="12" t="s">
        <v>79</v>
      </c>
      <c r="B52" s="3" t="s">
        <v>73</v>
      </c>
      <c r="C52" s="4">
        <f>IF(COUNTBLANK(C46:C49)&gt;0,"",C37*C46+C38*C47+C39*C48+C42*C49)</f>
        <v>119554.13</v>
      </c>
      <c r="D52" s="20" t="e">
        <f>A·II + B·IE + C·EI + D·EE</f>
        <v>#NAME?</v>
      </c>
      <c r="E52" s="17"/>
      <c r="F52" s="17"/>
      <c r="G52" s="17"/>
      <c r="H52" s="17"/>
      <c r="I52" s="17"/>
      <c r="J52" s="17"/>
      <c r="K52" s="17"/>
      <c r="L52" s="17"/>
    </row>
    <row r="53" spans="1:12" x14ac:dyDescent="0.35">
      <c r="A53" s="12" t="s">
        <v>80</v>
      </c>
      <c r="B53" s="3" t="s">
        <v>73</v>
      </c>
      <c r="C53" s="4">
        <f>IF(COUNTBLANK(C46:C49)&gt;0,"",C37*C46+C40*C47+C41*C48+C42*C49)</f>
        <v>112358.21</v>
      </c>
      <c r="D53" s="20"/>
      <c r="E53" s="17"/>
      <c r="F53" s="17"/>
      <c r="G53" s="17"/>
      <c r="H53" s="17"/>
      <c r="I53" s="17"/>
      <c r="J53" s="17"/>
      <c r="K53" s="17"/>
      <c r="L53" s="17"/>
    </row>
    <row r="55" spans="1:12" x14ac:dyDescent="0.35">
      <c r="A55" s="24" t="s">
        <v>81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 spans="1:12" x14ac:dyDescent="0.35">
      <c r="A56" s="1" t="s">
        <v>82</v>
      </c>
      <c r="B56" s="1" t="s">
        <v>19</v>
      </c>
      <c r="C56" s="1" t="s">
        <v>20</v>
      </c>
      <c r="D56" s="21" t="s">
        <v>83</v>
      </c>
      <c r="E56" s="17"/>
      <c r="F56" s="17"/>
      <c r="G56" s="17"/>
      <c r="H56" s="17"/>
      <c r="I56" s="17"/>
      <c r="J56" s="17"/>
      <c r="K56" s="17"/>
      <c r="L56" s="17"/>
    </row>
    <row r="57" spans="1:12" x14ac:dyDescent="0.35">
      <c r="A57" s="12" t="s">
        <v>84</v>
      </c>
      <c r="B57" s="3" t="s">
        <v>97</v>
      </c>
      <c r="C57" s="4">
        <f>C5*((C37*C46*(C9*C31+C10*C32+C11*C33))+(C38*C47*(C9*C31+C10*C32+C11*C33))+(C39*C48*(C9*C31+C10*C32+C11*C33))+(C42*C49*(D9*C31+D10*C32+D11*C33)))</f>
        <v>117284.523143022</v>
      </c>
      <c r="D57" s="20"/>
      <c r="E57" s="17"/>
      <c r="F57" s="17"/>
      <c r="G57" s="17"/>
      <c r="H57" s="17"/>
      <c r="I57" s="17"/>
      <c r="J57" s="17"/>
      <c r="K57" s="17"/>
      <c r="L57" s="17"/>
    </row>
    <row r="58" spans="1:12" x14ac:dyDescent="0.35">
      <c r="A58" s="12" t="s">
        <v>85</v>
      </c>
      <c r="B58" s="3" t="s">
        <v>97</v>
      </c>
      <c r="C58" s="4">
        <f>C6*((C37*C46*(C15*C30+C16*C26+C17*C28+C18*C25+C19*C27+C20*C29))+(C40*C47*(C15*C30+C16*C26+C17*C28+C18*C25+C19*C27+C20*C29))+(C41*C48*(C15*C30+C16*C26+C17*C28+C18*C25+C19*C27+C20*C29))+(C42*C49*(D15*C30+D16*C26+D17*C28+D18*C25+D19*C27+D20*C29)))</f>
        <v>38699.778928135202</v>
      </c>
      <c r="D58" s="20"/>
      <c r="E58" s="17"/>
      <c r="F58" s="17"/>
      <c r="G58" s="17"/>
      <c r="H58" s="17"/>
      <c r="I58" s="17"/>
      <c r="J58" s="17"/>
      <c r="K58" s="17"/>
      <c r="L58" s="17"/>
    </row>
    <row r="59" spans="1:12" x14ac:dyDescent="0.35">
      <c r="A59" s="13" t="s">
        <v>86</v>
      </c>
      <c r="B59" s="14" t="s">
        <v>97</v>
      </c>
      <c r="C59" s="15">
        <f>IF(OR(C57="",C58=""),"",C57+C58)</f>
        <v>155984.3020711572</v>
      </c>
      <c r="D59" s="16" t="e">
        <f>E_EV + E_Conv</f>
        <v>#NAME?</v>
      </c>
      <c r="E59" s="17"/>
      <c r="F59" s="17"/>
      <c r="G59" s="17"/>
      <c r="H59" s="17"/>
      <c r="I59" s="17"/>
      <c r="J59" s="17"/>
      <c r="K59" s="17"/>
      <c r="L59" s="17"/>
    </row>
    <row r="60" spans="1:12" x14ac:dyDescent="0.35">
      <c r="A60" s="2" t="s">
        <v>87</v>
      </c>
      <c r="B60" s="3" t="s">
        <v>98</v>
      </c>
      <c r="C60" s="4">
        <f>IF(C59="","",C59/3.6)</f>
        <v>43328.972797543669</v>
      </c>
      <c r="D60" s="8" t="e">
        <f>Total MJ / 3.6</f>
        <v>#NAME?</v>
      </c>
    </row>
    <row r="61" spans="1:12" x14ac:dyDescent="0.35">
      <c r="A61" s="2" t="s">
        <v>88</v>
      </c>
      <c r="B61" s="3" t="s">
        <v>99</v>
      </c>
      <c r="C61" s="5">
        <f>IF(C59="","",C59/3600000)</f>
        <v>4.332897279754367E-2</v>
      </c>
      <c r="D61" s="8"/>
    </row>
    <row r="62" spans="1:12" x14ac:dyDescent="0.35">
      <c r="A62" s="2" t="s">
        <v>89</v>
      </c>
      <c r="B62" s="3" t="s">
        <v>100</v>
      </c>
      <c r="C62" s="5">
        <f>IF(C59="","",C59/1000000)</f>
        <v>0.15598430207115721</v>
      </c>
      <c r="D62" s="8"/>
    </row>
  </sheetData>
  <mergeCells count="40">
    <mergeCell ref="D57:L57"/>
    <mergeCell ref="D27:L27"/>
    <mergeCell ref="D32:L32"/>
    <mergeCell ref="D41:L41"/>
    <mergeCell ref="D48:L48"/>
    <mergeCell ref="D56:L56"/>
    <mergeCell ref="D38:L38"/>
    <mergeCell ref="A44:L44"/>
    <mergeCell ref="D26:L26"/>
    <mergeCell ref="A3:L3"/>
    <mergeCell ref="D53:L53"/>
    <mergeCell ref="D47:L47"/>
    <mergeCell ref="A55:L55"/>
    <mergeCell ref="D37:L37"/>
    <mergeCell ref="D28:L28"/>
    <mergeCell ref="D4:L4"/>
    <mergeCell ref="A23:L23"/>
    <mergeCell ref="A8:L8"/>
    <mergeCell ref="A14:L14"/>
    <mergeCell ref="D5:L5"/>
    <mergeCell ref="D49:L49"/>
    <mergeCell ref="D33:L33"/>
    <mergeCell ref="D29:L29"/>
    <mergeCell ref="D42:L42"/>
    <mergeCell ref="D59:L59"/>
    <mergeCell ref="A51:L51"/>
    <mergeCell ref="A1:L1"/>
    <mergeCell ref="D46:L46"/>
    <mergeCell ref="D40:L40"/>
    <mergeCell ref="D31:L31"/>
    <mergeCell ref="D45:L45"/>
    <mergeCell ref="D36:L36"/>
    <mergeCell ref="D6:L6"/>
    <mergeCell ref="D52:L52"/>
    <mergeCell ref="D58:L58"/>
    <mergeCell ref="D39:L39"/>
    <mergeCell ref="D25:L25"/>
    <mergeCell ref="A35:L35"/>
    <mergeCell ref="D24:L24"/>
    <mergeCell ref="D30:L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Comparison</vt:lpstr>
      <vt:lpstr>Current_2024</vt:lpstr>
      <vt:lpstr>Scenario_2030</vt:lpstr>
      <vt:lpstr>Scenario_2050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ZARQA ZARQA</cp:lastModifiedBy>
  <dcterms:created xsi:type="dcterms:W3CDTF">2026-05-10T12:37:14Z</dcterms:created>
  <dcterms:modified xsi:type="dcterms:W3CDTF">2026-05-30T12:52:26Z</dcterms:modified>
</cp:coreProperties>
</file>